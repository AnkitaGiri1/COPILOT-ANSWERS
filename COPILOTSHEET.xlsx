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DA ASSIGNMENTS\"/>
    </mc:Choice>
  </mc:AlternateContent>
  <xr:revisionPtr revIDLastSave="0" documentId="13_ncr:1_{266E9D03-5A2D-4E1F-8D87-563A3E9D3FC5}" xr6:coauthVersionLast="47" xr6:coauthVersionMax="47" xr10:uidLastSave="{00000000-0000-0000-0000-000000000000}"/>
  <bookViews>
    <workbookView xWindow="-108" yWindow="-108" windowWidth="23256" windowHeight="12456" activeTab="2" xr2:uid="{85E96EEA-731B-4FD8-A9B2-D02F01B66949}"/>
  </bookViews>
  <sheets>
    <sheet name="Retail Data Set" sheetId="1" r:id="rId1"/>
    <sheet name="Answer 1" sheetId="2" r:id="rId2"/>
    <sheet name="Answer 2, 3,4" sheetId="3" r:id="rId3"/>
  </sheets>
  <definedNames>
    <definedName name="_xlnm._FilterDatabase" localSheetId="1" hidden="1">'Answer 1'!$A$1:$K$351</definedName>
    <definedName name="_xlnm._FilterDatabase" localSheetId="2" hidden="1">'Answer 2, 3,4'!$A$1:$N$355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2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M40" i="3"/>
  <c r="M351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2" i="3"/>
  <c r="K202" i="3"/>
  <c r="K199" i="3"/>
  <c r="K8" i="3"/>
  <c r="K7" i="3"/>
  <c r="K6" i="3"/>
  <c r="K200" i="3"/>
  <c r="K201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" i="3"/>
  <c r="K4" i="3"/>
  <c r="K5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2" i="3"/>
  <c r="K3" i="2"/>
</calcChain>
</file>

<file path=xl/sharedStrings.xml><?xml version="1.0" encoding="utf-8"?>
<sst xmlns="http://schemas.openxmlformats.org/spreadsheetml/2006/main" count="6293" uniqueCount="383">
  <si>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</si>
  <si>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</si>
  <si>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</si>
  <si>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</si>
  <si>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</si>
  <si>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</si>
  <si>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</si>
  <si>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</si>
  <si>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</si>
  <si>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</si>
  <si>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</si>
  <si>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</si>
  <si>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</si>
  <si>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</si>
  <si>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</si>
  <si>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</si>
  <si>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</si>
  <si>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</si>
  <si>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</si>
  <si>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</si>
  <si>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</si>
  <si>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</si>
  <si>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</si>
  <si>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</si>
  <si>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</si>
  <si>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</si>
  <si>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</si>
  <si>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</si>
  <si>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</si>
  <si>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</si>
  <si>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</si>
  <si>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</si>
  <si>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</si>
  <si>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</si>
  <si>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</si>
  <si>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</si>
  <si>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</si>
  <si>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</si>
  <si>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</si>
  <si>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</si>
  <si>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</si>
  <si>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</si>
  <si>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</si>
  <si>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</si>
  <si>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</si>
  <si>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</si>
  <si>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</si>
  <si>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</si>
  <si>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</si>
  <si>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</si>
  <si>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</si>
  <si>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</si>
  <si>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</si>
  <si>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</si>
  <si>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</si>
  <si>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</si>
  <si>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</si>
  <si>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</si>
  <si>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</si>
  <si>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</si>
  <si>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</si>
  <si>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</si>
  <si>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</si>
  <si>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</si>
  <si>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</si>
  <si>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</si>
  <si>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</si>
  <si>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</si>
  <si>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</si>
  <si>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</si>
  <si>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</si>
  <si>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</si>
  <si>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</si>
  <si>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</si>
  <si>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</si>
  <si>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</si>
  <si>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</si>
  <si>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</si>
  <si>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</si>
  <si>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</si>
  <si>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</si>
  <si>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</si>
  <si>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</si>
  <si>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</si>
  <si>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</si>
  <si>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</si>
  <si>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</si>
  <si>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</si>
  <si>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</si>
  <si>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</si>
  <si>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</si>
  <si>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</si>
  <si>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</si>
  <si>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</si>
  <si>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</si>
  <si>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</si>
  <si>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</si>
  <si>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</si>
  <si>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</si>
  <si>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</si>
  <si>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</si>
  <si>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</si>
  <si>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</si>
  <si>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</si>
  <si>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</si>
  <si>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</si>
  <si>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</si>
  <si>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</si>
  <si>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</si>
  <si>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</si>
  <si>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</si>
  <si>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</si>
  <si>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</si>
  <si>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</si>
  <si>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</si>
  <si>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</si>
  <si>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</si>
  <si>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</si>
  <si>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</si>
  <si>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</si>
  <si>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</si>
  <si>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</si>
  <si>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</si>
  <si>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</si>
  <si>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</si>
  <si>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</si>
  <si>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</si>
  <si>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</si>
  <si>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</si>
  <si>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</si>
  <si>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</si>
  <si>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</si>
  <si>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</si>
  <si>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</si>
  <si>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</si>
  <si>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</si>
  <si>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</si>
  <si>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</si>
  <si>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</si>
  <si>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</si>
  <si>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</si>
  <si>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</si>
  <si>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</si>
  <si>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</si>
  <si>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</si>
  <si>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</si>
  <si>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</si>
  <si>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</si>
  <si>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</si>
  <si>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</si>
  <si>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</si>
  <si>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</si>
  <si>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</si>
  <si>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</si>
  <si>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</si>
  <si>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</si>
  <si>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</si>
  <si>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</si>
  <si>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</si>
  <si>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</si>
  <si>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</si>
  <si>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</si>
  <si>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</si>
  <si>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</si>
  <si>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</si>
  <si>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</si>
  <si>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</si>
  <si>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</si>
  <si>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</si>
  <si>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</si>
  <si>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</si>
  <si>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</si>
  <si>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</si>
  <si>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</si>
  <si>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</si>
  <si>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</si>
  <si>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</si>
  <si>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</si>
  <si>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</si>
  <si>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</si>
  <si>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</si>
  <si>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</si>
  <si>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</si>
  <si>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</si>
  <si>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</si>
  <si>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</si>
  <si>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</si>
  <si>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</si>
  <si>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</si>
  <si>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</si>
  <si>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</si>
  <si>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</si>
  <si>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</si>
  <si>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</si>
  <si>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</si>
  <si>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</si>
  <si>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</si>
  <si>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</si>
  <si>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</si>
  <si>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</si>
  <si>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</si>
  <si>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</si>
  <si>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</si>
  <si>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</si>
  <si>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</si>
  <si>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</si>
  <si>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</si>
  <si>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</si>
  <si>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</si>
  <si>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</si>
  <si>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</si>
  <si>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</si>
  <si>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</si>
  <si>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</si>
  <si>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</si>
  <si>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</si>
  <si>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</si>
  <si>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</si>
  <si>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</si>
  <si>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</si>
  <si>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</si>
  <si>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</si>
  <si>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</si>
  <si>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</si>
  <si>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</si>
  <si>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</si>
  <si>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</si>
  <si>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</si>
  <si>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</si>
  <si>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</si>
  <si>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</si>
  <si>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</si>
  <si>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</si>
  <si>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</si>
  <si>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</si>
  <si>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</si>
  <si>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</si>
  <si>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</si>
  <si>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</si>
  <si>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</si>
  <si>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</si>
  <si>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</si>
  <si>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</si>
  <si>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</si>
  <si>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</si>
  <si>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</si>
  <si>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</si>
  <si>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</si>
  <si>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</si>
  <si>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</si>
  <si>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</si>
  <si>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</si>
  <si>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</si>
  <si>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</si>
  <si>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</si>
  <si>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</si>
  <si>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</si>
  <si>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</si>
  <si>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</si>
  <si>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</si>
  <si>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</si>
  <si>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</si>
  <si>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</si>
  <si>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</si>
  <si>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</si>
  <si>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</si>
  <si>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</si>
  <si>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</si>
  <si>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</si>
  <si>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</si>
  <si>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</si>
  <si>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</si>
  <si>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</si>
  <si>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</si>
  <si>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</si>
  <si>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</si>
  <si>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</si>
  <si>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</si>
  <si>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</si>
  <si>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</si>
  <si>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</si>
  <si>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</si>
  <si>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</si>
  <si>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</si>
  <si>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</si>
  <si>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</si>
  <si>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</si>
  <si>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</si>
  <si>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</si>
  <si>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</si>
  <si>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</si>
  <si>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</si>
  <si>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</si>
  <si>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</si>
  <si>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</si>
  <si>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</si>
  <si>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</si>
  <si>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</si>
  <si>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</si>
  <si>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</si>
  <si>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</si>
  <si>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</si>
  <si>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</si>
  <si>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</si>
  <si>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</si>
  <si>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</si>
  <si>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</si>
  <si>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</si>
  <si>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</si>
  <si>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</si>
  <si>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</si>
  <si>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</si>
  <si>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</si>
  <si>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</si>
  <si>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</si>
  <si>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</si>
  <si>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</si>
  <si>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</si>
  <si>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</si>
  <si>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</si>
  <si>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</si>
  <si>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</si>
  <si>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</si>
  <si>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</si>
  <si>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</si>
  <si>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</si>
  <si>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</si>
  <si>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</si>
  <si>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</si>
  <si>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</si>
  <si>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</si>
  <si>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</si>
  <si>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</si>
  <si>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</si>
  <si>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</si>
  <si>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</si>
  <si>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</si>
  <si>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</si>
  <si>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</si>
  <si>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</si>
  <si>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</si>
  <si>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</si>
  <si>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</si>
  <si>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</si>
  <si>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</si>
  <si>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</si>
  <si>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</si>
  <si>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</si>
  <si>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</si>
  <si>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</si>
  <si>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</si>
  <si>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</si>
  <si>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</si>
  <si>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</si>
  <si>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</si>
  <si>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</si>
  <si>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</si>
  <si>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</si>
  <si>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</si>
  <si>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</si>
  <si>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</si>
  <si>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</si>
  <si>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</si>
  <si>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</si>
  <si>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</si>
  <si>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</si>
  <si>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</si>
  <si>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</si>
  <si>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</si>
  <si>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</si>
  <si>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</si>
  <si>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</si>
  <si>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</si>
  <si>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</si>
  <si>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</si>
  <si>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</si>
  <si>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</si>
  <si>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</si>
  <si>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</si>
  <si>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Order ID+J17A1:J342</t>
  </si>
  <si>
    <t>Missing values</t>
  </si>
  <si>
    <t>Total Revenue</t>
  </si>
  <si>
    <t>Answer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</si>
</sst>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1" fillId="0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center"/>
    </xf>
    <xf numFmtId="0" fontId="0" fillId="0" borderId="6" xfId="0" applyBorder="1" applyAlignment="1">
      <alignment wrapText="1"/>
    </xf>
    <xf numFmtId="22" fontId="0" fillId="0" borderId="6" xfId="0" applyNumberFormat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CE63-603B-46DC-AEA7-4742B5A75CFD}">
  <dimension ref="A1:J351"/>
  <sheetViews>
    <sheetView workbookViewId="0">
      <selection activeCell="G14" sqref="G14"/>
    </sheetView>
  </sheetViews>
  <sheetFormatPr defaultRowHeight="14.4"/>
  <cols>
    <col min="7" max="7" width="15.44140625" bestFit="1" customWidth="1"/>
  </cols>
  <sheetData>
    <row r="1" spans="1:10" ht="29.4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9.4" thickBo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5">
        <v>235</v>
      </c>
      <c r="I2" s="5">
        <v>152.91999999999999</v>
      </c>
      <c r="J2" s="5">
        <v>153.6</v>
      </c>
    </row>
    <row r="3" spans="1:10" ht="15" thickBot="1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5">
        <v>341</v>
      </c>
      <c r="I3" s="5">
        <v>467.92</v>
      </c>
      <c r="J3" s="5">
        <v>139.84</v>
      </c>
    </row>
    <row r="4" spans="1:10" ht="15" thickBot="1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5">
        <v>179</v>
      </c>
      <c r="I4" s="5">
        <v>473.94</v>
      </c>
      <c r="J4" s="5">
        <v>97.14</v>
      </c>
    </row>
    <row r="5" spans="1:10" ht="15" thickBot="1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5">
        <v>18</v>
      </c>
      <c r="I5" s="5">
        <v>314.52999999999997</v>
      </c>
      <c r="J5" s="5">
        <v>204.87</v>
      </c>
    </row>
    <row r="6" spans="1:10" ht="15" thickBot="1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5">
        <v>472</v>
      </c>
      <c r="I6" s="5">
        <v>392.79</v>
      </c>
      <c r="J6" s="5">
        <v>330.46</v>
      </c>
    </row>
    <row r="7" spans="1:10" ht="15" thickBot="1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5">
        <v>49</v>
      </c>
      <c r="I7" s="5">
        <v>308.07</v>
      </c>
      <c r="J7" s="5">
        <v>113.32</v>
      </c>
    </row>
    <row r="8" spans="1:10" ht="15" thickBot="1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5">
        <v>34</v>
      </c>
      <c r="I8" s="5">
        <v>244.78</v>
      </c>
      <c r="J8" s="5">
        <v>377.07</v>
      </c>
    </row>
    <row r="9" spans="1:10" ht="29.4" thickBot="1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5">
        <v>270</v>
      </c>
      <c r="I9" s="5">
        <v>332.11</v>
      </c>
      <c r="J9" s="5">
        <v>349.59</v>
      </c>
    </row>
    <row r="10" spans="1:10" ht="29.4" thickBot="1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5">
        <v>404</v>
      </c>
      <c r="I10" s="5">
        <v>278.74</v>
      </c>
      <c r="J10" s="5">
        <v>66.38</v>
      </c>
    </row>
    <row r="11" spans="1:10" ht="15" thickBot="1">
      <c r="A11" s="3" t="s">
        <v>35</v>
      </c>
      <c r="B11" s="3"/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5">
        <v>452</v>
      </c>
      <c r="I11" s="5">
        <v>300.75</v>
      </c>
      <c r="J11" s="5">
        <v>314.94</v>
      </c>
    </row>
    <row r="12" spans="1:10" ht="15" thickBot="1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5">
        <v>235</v>
      </c>
      <c r="I12" s="5">
        <v>393</v>
      </c>
      <c r="J12" s="5">
        <v>230.69</v>
      </c>
    </row>
    <row r="13" spans="1:10" ht="15" thickBot="1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5">
        <v>481</v>
      </c>
      <c r="I13" s="5">
        <v>243.05</v>
      </c>
      <c r="J13" s="5">
        <v>227.5</v>
      </c>
    </row>
    <row r="14" spans="1:10" ht="15" thickBot="1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5">
        <v>133</v>
      </c>
      <c r="I14" s="5">
        <v>25.17</v>
      </c>
      <c r="J14" s="5">
        <v>157.63999999999999</v>
      </c>
    </row>
    <row r="15" spans="1:10" ht="15" thickBot="1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5">
        <v>472</v>
      </c>
      <c r="I15" s="5">
        <v>86.18</v>
      </c>
      <c r="J15" s="5">
        <v>201.46</v>
      </c>
    </row>
    <row r="16" spans="1:10" ht="29.4" thickBot="1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5">
        <v>47</v>
      </c>
      <c r="I16" s="5">
        <v>222.11</v>
      </c>
      <c r="J16" s="5">
        <v>160.08000000000001</v>
      </c>
    </row>
    <row r="17" spans="1:10" ht="29.4" thickBot="1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5">
        <v>337</v>
      </c>
      <c r="I17" s="5">
        <v>363.79</v>
      </c>
      <c r="J17" s="5">
        <v>216.81</v>
      </c>
    </row>
    <row r="18" spans="1:10" ht="29.4" thickBot="1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5">
        <v>260</v>
      </c>
      <c r="I18" s="5">
        <v>298.67</v>
      </c>
      <c r="J18" s="5">
        <v>251.92</v>
      </c>
    </row>
    <row r="19" spans="1:10" ht="15" thickBot="1">
      <c r="A19" s="3" t="s">
        <v>44</v>
      </c>
      <c r="B19" s="3"/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5">
        <v>398</v>
      </c>
      <c r="I19" s="5">
        <v>326.89999999999998</v>
      </c>
      <c r="J19" s="5">
        <v>270.37</v>
      </c>
    </row>
    <row r="20" spans="1:10" ht="29.4" thickBot="1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5">
        <v>185</v>
      </c>
      <c r="I20" s="5">
        <v>242.24</v>
      </c>
      <c r="J20" s="5">
        <v>213.93</v>
      </c>
    </row>
    <row r="21" spans="1:10" ht="15" thickBot="1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5">
        <v>99</v>
      </c>
      <c r="I21" s="5">
        <v>309.79000000000002</v>
      </c>
      <c r="J21" s="5">
        <v>289.13</v>
      </c>
    </row>
    <row r="22" spans="1:10" ht="29.4" thickBot="1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5">
        <v>411</v>
      </c>
      <c r="I22" s="5">
        <v>167.86</v>
      </c>
      <c r="J22" s="5">
        <v>58.23</v>
      </c>
    </row>
    <row r="23" spans="1:10" ht="15" thickBot="1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5">
        <v>463</v>
      </c>
      <c r="I23" s="5">
        <v>237.74</v>
      </c>
      <c r="J23" s="5">
        <v>86.37</v>
      </c>
    </row>
    <row r="24" spans="1:10" ht="29.4" thickBot="1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5">
        <v>46</v>
      </c>
      <c r="I24" s="5">
        <v>373.42</v>
      </c>
      <c r="J24" s="5">
        <v>327.86</v>
      </c>
    </row>
    <row r="25" spans="1:10" ht="29.4" thickBot="1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5">
        <v>325</v>
      </c>
      <c r="I25" s="5">
        <v>436.56</v>
      </c>
      <c r="J25" s="5">
        <v>130.37</v>
      </c>
    </row>
    <row r="26" spans="1:10" ht="15" thickBot="1">
      <c r="A26" s="3" t="s">
        <v>53</v>
      </c>
      <c r="B26" s="3" t="s">
        <v>17</v>
      </c>
      <c r="C26" s="3" t="s">
        <v>18</v>
      </c>
      <c r="D26" s="3"/>
      <c r="E26" s="3" t="s">
        <v>24</v>
      </c>
      <c r="F26" s="3" t="s">
        <v>28</v>
      </c>
      <c r="G26" s="4">
        <v>44951</v>
      </c>
      <c r="H26" s="5">
        <v>185</v>
      </c>
      <c r="I26" s="5">
        <v>219.66</v>
      </c>
      <c r="J26" s="5">
        <v>11.11</v>
      </c>
    </row>
    <row r="27" spans="1:10" ht="29.4" thickBot="1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5">
        <v>470</v>
      </c>
      <c r="I27" s="5">
        <v>26.61</v>
      </c>
      <c r="J27" s="5">
        <v>63.21</v>
      </c>
    </row>
    <row r="28" spans="1:10" ht="15" thickBot="1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5">
        <v>293</v>
      </c>
      <c r="I28" s="5">
        <v>85.03</v>
      </c>
      <c r="J28" s="5">
        <v>91</v>
      </c>
    </row>
    <row r="29" spans="1:10" ht="15" thickBot="1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5">
        <v>462</v>
      </c>
      <c r="I29" s="3"/>
      <c r="J29" s="5">
        <v>383.01</v>
      </c>
    </row>
    <row r="30" spans="1:10" ht="29.4" thickBot="1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5">
        <v>470</v>
      </c>
      <c r="I30" s="5">
        <v>328.37</v>
      </c>
      <c r="J30" s="5">
        <v>230.07</v>
      </c>
    </row>
    <row r="31" spans="1:10" ht="29.4" thickBot="1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5">
        <v>90</v>
      </c>
      <c r="I31" s="5">
        <v>169.5</v>
      </c>
      <c r="J31" s="5">
        <v>373.23</v>
      </c>
    </row>
    <row r="32" spans="1:10" ht="29.4" thickBot="1">
      <c r="A32" s="3" t="s">
        <v>59</v>
      </c>
      <c r="B32" s="3"/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5">
        <v>123</v>
      </c>
      <c r="I32" s="5">
        <v>273.52999999999997</v>
      </c>
      <c r="J32" s="5">
        <v>230.92</v>
      </c>
    </row>
    <row r="33" spans="1:10" ht="29.4" thickBot="1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5">
        <v>49</v>
      </c>
      <c r="I33" s="5">
        <v>249.17</v>
      </c>
      <c r="J33" s="5">
        <v>192.78</v>
      </c>
    </row>
    <row r="34" spans="1:10" ht="29.4" thickBot="1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5">
        <v>310</v>
      </c>
      <c r="I34" s="5">
        <v>45.36</v>
      </c>
      <c r="J34" s="5">
        <v>126.86</v>
      </c>
    </row>
    <row r="35" spans="1:10" ht="15" thickBot="1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5">
        <v>233</v>
      </c>
      <c r="I35" s="5">
        <v>204.61</v>
      </c>
      <c r="J35" s="5">
        <v>243.34</v>
      </c>
    </row>
    <row r="36" spans="1:10" ht="15" thickBot="1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5">
        <v>327</v>
      </c>
      <c r="I36" s="5">
        <v>114.18</v>
      </c>
      <c r="J36" s="5">
        <v>57.4</v>
      </c>
    </row>
    <row r="37" spans="1:10" ht="29.4" thickBot="1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5">
        <v>358</v>
      </c>
      <c r="I37" s="5">
        <v>212.11</v>
      </c>
      <c r="J37" s="5">
        <v>359.51</v>
      </c>
    </row>
    <row r="38" spans="1:10" ht="15" thickBot="1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5">
        <v>124</v>
      </c>
      <c r="I38" s="3"/>
      <c r="J38" s="5">
        <v>332.07</v>
      </c>
    </row>
    <row r="39" spans="1:10" ht="15" thickBot="1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5">
        <v>195</v>
      </c>
      <c r="I39" s="5">
        <v>421.02</v>
      </c>
      <c r="J39" s="5">
        <v>128.38</v>
      </c>
    </row>
    <row r="40" spans="1:10" ht="15" thickBot="1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/>
      <c r="I40" s="5">
        <v>91.23</v>
      </c>
      <c r="J40" s="5">
        <v>381.21</v>
      </c>
    </row>
    <row r="41" spans="1:10" ht="15" thickBot="1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5">
        <v>65</v>
      </c>
      <c r="I41" s="5">
        <v>480.59</v>
      </c>
      <c r="J41" s="5">
        <v>330.43</v>
      </c>
    </row>
    <row r="42" spans="1:10" ht="29.4" thickBot="1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5">
        <v>49</v>
      </c>
      <c r="I42" s="5">
        <v>210.87</v>
      </c>
      <c r="J42" s="5">
        <v>267.19</v>
      </c>
    </row>
    <row r="43" spans="1:10" ht="15" thickBot="1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5">
        <v>363</v>
      </c>
      <c r="I43" s="5">
        <v>423.89</v>
      </c>
      <c r="J43" s="5">
        <v>50.46</v>
      </c>
    </row>
    <row r="44" spans="1:10" ht="29.4" thickBot="1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5">
        <v>49</v>
      </c>
      <c r="I44" s="5">
        <v>316.24</v>
      </c>
      <c r="J44" s="5">
        <v>192.34</v>
      </c>
    </row>
    <row r="45" spans="1:10" ht="29.4" thickBot="1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5">
        <v>356</v>
      </c>
      <c r="I45" s="5">
        <v>369</v>
      </c>
      <c r="J45" s="5">
        <v>203.43</v>
      </c>
    </row>
    <row r="46" spans="1:10" ht="29.4" thickBot="1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5">
        <v>470</v>
      </c>
      <c r="I46" s="3"/>
      <c r="J46" s="5">
        <v>94.56</v>
      </c>
    </row>
    <row r="47" spans="1:10" ht="29.4" thickBot="1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5">
        <v>246</v>
      </c>
      <c r="I47" s="5">
        <v>254.9</v>
      </c>
      <c r="J47" s="5">
        <v>33.83</v>
      </c>
    </row>
    <row r="48" spans="1:10" ht="15" thickBot="1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5">
        <v>298</v>
      </c>
      <c r="I48" s="5">
        <v>273.93</v>
      </c>
      <c r="J48" s="5">
        <v>311.14</v>
      </c>
    </row>
    <row r="49" spans="1:10" ht="29.4" thickBot="1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5">
        <v>271</v>
      </c>
      <c r="I49" s="5">
        <v>259.43</v>
      </c>
      <c r="J49" s="5">
        <v>50.57</v>
      </c>
    </row>
    <row r="50" spans="1:10" ht="15" thickBot="1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5">
        <v>225</v>
      </c>
      <c r="I50" s="5">
        <v>296.08999999999997</v>
      </c>
      <c r="J50" s="5">
        <v>238.53</v>
      </c>
    </row>
    <row r="51" spans="1:10" ht="15" thickBot="1">
      <c r="A51" s="3" t="s">
        <v>78</v>
      </c>
      <c r="B51" s="3"/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5">
        <v>156</v>
      </c>
      <c r="I51" s="5">
        <v>19.55</v>
      </c>
      <c r="J51" s="5">
        <v>374.71</v>
      </c>
    </row>
    <row r="52" spans="1:10" ht="15" thickBot="1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5">
        <v>345</v>
      </c>
      <c r="I52" s="5">
        <v>200.78</v>
      </c>
      <c r="J52" s="5">
        <v>350.69</v>
      </c>
    </row>
    <row r="53" spans="1:10" ht="15" thickBot="1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5">
        <v>177</v>
      </c>
      <c r="I53" s="5">
        <v>305.06</v>
      </c>
      <c r="J53" s="5">
        <v>112.55</v>
      </c>
    </row>
    <row r="54" spans="1:10" ht="15" thickBot="1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5">
        <v>101</v>
      </c>
      <c r="I54" s="5">
        <v>300.87</v>
      </c>
      <c r="J54" s="5">
        <v>340.88</v>
      </c>
    </row>
    <row r="55" spans="1:10" ht="29.4" thickBot="1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5">
        <v>362</v>
      </c>
      <c r="I55" s="5">
        <v>397.51</v>
      </c>
      <c r="J55" s="5">
        <v>2.13</v>
      </c>
    </row>
    <row r="56" spans="1:10" ht="15" thickBot="1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5">
        <v>68</v>
      </c>
      <c r="I56" s="5">
        <v>329.23</v>
      </c>
      <c r="J56" s="5">
        <v>9.0399999999999991</v>
      </c>
    </row>
    <row r="57" spans="1:10" ht="15" thickBot="1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5">
        <v>68</v>
      </c>
      <c r="I57" s="5">
        <v>496.11</v>
      </c>
      <c r="J57" s="5">
        <v>241.82</v>
      </c>
    </row>
    <row r="58" spans="1:10" ht="15" thickBot="1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5">
        <v>313</v>
      </c>
      <c r="I58" s="5">
        <v>145.51</v>
      </c>
      <c r="J58" s="5">
        <v>147.19</v>
      </c>
    </row>
    <row r="59" spans="1:10" ht="15" thickBot="1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5">
        <v>178</v>
      </c>
      <c r="I59" s="5">
        <v>182.78</v>
      </c>
      <c r="J59" s="5">
        <v>155.81</v>
      </c>
    </row>
    <row r="60" spans="1:10" ht="15" thickBot="1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5">
        <v>278</v>
      </c>
      <c r="I60" s="5">
        <v>195</v>
      </c>
      <c r="J60" s="5">
        <v>226.65</v>
      </c>
    </row>
    <row r="61" spans="1:10" ht="15" thickBot="1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5">
        <v>372</v>
      </c>
      <c r="I61" s="5">
        <v>235.58</v>
      </c>
      <c r="J61" s="5">
        <v>78.33</v>
      </c>
    </row>
    <row r="62" spans="1:10" ht="15" thickBot="1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5">
        <v>54</v>
      </c>
      <c r="I62" s="5">
        <v>418.82</v>
      </c>
      <c r="J62" s="5">
        <v>86.28</v>
      </c>
    </row>
    <row r="63" spans="1:10" ht="15" thickBot="1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5">
        <v>354</v>
      </c>
      <c r="I63" s="5">
        <v>121.72</v>
      </c>
      <c r="J63" s="5">
        <v>194.87</v>
      </c>
    </row>
    <row r="64" spans="1:10" ht="15" thickBot="1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5">
        <v>190</v>
      </c>
      <c r="I64" s="5">
        <v>389.12</v>
      </c>
      <c r="J64" s="5">
        <v>302.19</v>
      </c>
    </row>
    <row r="65" spans="1:10" ht="29.4" thickBot="1">
      <c r="A65" s="3" t="s">
        <v>92</v>
      </c>
      <c r="B65" s="3"/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5">
        <v>179</v>
      </c>
      <c r="I65" s="5">
        <v>205.63</v>
      </c>
      <c r="J65" s="5">
        <v>248.56</v>
      </c>
    </row>
    <row r="66" spans="1:10" ht="29.4" thickBot="1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5">
        <v>365</v>
      </c>
      <c r="I66" s="5">
        <v>302.92</v>
      </c>
      <c r="J66" s="5">
        <v>120.35</v>
      </c>
    </row>
    <row r="67" spans="1:10" ht="15" thickBot="1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5">
        <v>200</v>
      </c>
      <c r="I67" s="5">
        <v>318.11</v>
      </c>
      <c r="J67" s="5">
        <v>173.27</v>
      </c>
    </row>
    <row r="68" spans="1:10" ht="15" thickBot="1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5">
        <v>164</v>
      </c>
      <c r="I68" s="5">
        <v>189.56</v>
      </c>
      <c r="J68" s="5">
        <v>69.92</v>
      </c>
    </row>
    <row r="69" spans="1:10" ht="29.4" thickBot="1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5">
        <v>431</v>
      </c>
      <c r="I69" s="5">
        <v>258.74</v>
      </c>
      <c r="J69" s="5">
        <v>31.7</v>
      </c>
    </row>
    <row r="70" spans="1:10" ht="29.4" thickBot="1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5">
        <v>197</v>
      </c>
      <c r="I70" s="5">
        <v>209.45</v>
      </c>
      <c r="J70" s="5">
        <v>313.51</v>
      </c>
    </row>
    <row r="71" spans="1:10" ht="29.4" thickBot="1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5">
        <v>16</v>
      </c>
      <c r="I71" s="5">
        <v>39.22</v>
      </c>
      <c r="J71" s="5">
        <v>107.62</v>
      </c>
    </row>
    <row r="72" spans="1:10" ht="29.4" thickBot="1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5">
        <v>142</v>
      </c>
      <c r="I72" s="5">
        <v>221.4</v>
      </c>
      <c r="J72" s="5">
        <v>72.75</v>
      </c>
    </row>
    <row r="73" spans="1:10" ht="15" thickBot="1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5">
        <v>244</v>
      </c>
      <c r="I73" s="5">
        <v>53.21</v>
      </c>
      <c r="J73" s="5">
        <v>277.26</v>
      </c>
    </row>
    <row r="74" spans="1:10" ht="29.4" thickBot="1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5">
        <v>54</v>
      </c>
      <c r="I74" s="5">
        <v>205.49</v>
      </c>
      <c r="J74" s="5">
        <v>247.98</v>
      </c>
    </row>
    <row r="75" spans="1:10" ht="15" thickBot="1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5">
        <v>323</v>
      </c>
      <c r="I75" s="5">
        <v>298.49</v>
      </c>
      <c r="J75" s="5">
        <v>254.01</v>
      </c>
    </row>
    <row r="76" spans="1:10" ht="29.4" thickBot="1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5">
        <v>258</v>
      </c>
      <c r="I76" s="5">
        <v>291.81</v>
      </c>
      <c r="J76" s="5">
        <v>93.1</v>
      </c>
    </row>
    <row r="77" spans="1:10" ht="29.4" thickBot="1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5">
        <v>40</v>
      </c>
      <c r="I77" s="5">
        <v>333</v>
      </c>
      <c r="J77" s="5">
        <v>94.59</v>
      </c>
    </row>
    <row r="78" spans="1:10" ht="15" thickBot="1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5">
        <v>32</v>
      </c>
      <c r="I78" s="5">
        <v>52.15</v>
      </c>
      <c r="J78" s="5">
        <v>89.88</v>
      </c>
    </row>
    <row r="79" spans="1:10" ht="29.4" thickBot="1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5">
        <v>435</v>
      </c>
      <c r="I79" s="5">
        <v>327.8</v>
      </c>
      <c r="J79" s="5">
        <v>71.150000000000006</v>
      </c>
    </row>
    <row r="80" spans="1:10" ht="15" thickBot="1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5">
        <v>403</v>
      </c>
      <c r="I80" s="5">
        <v>159.51</v>
      </c>
      <c r="J80" s="5">
        <v>262.98</v>
      </c>
    </row>
    <row r="81" spans="1:10" ht="15" thickBot="1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5">
        <v>169</v>
      </c>
      <c r="I81" s="3"/>
      <c r="J81" s="5">
        <v>339.51</v>
      </c>
    </row>
    <row r="82" spans="1:10" ht="29.4" thickBot="1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5">
        <v>372</v>
      </c>
      <c r="I82" s="5">
        <v>429.7</v>
      </c>
      <c r="J82" s="5">
        <v>290.27999999999997</v>
      </c>
    </row>
    <row r="83" spans="1:10" ht="29.4" thickBot="1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5">
        <v>446</v>
      </c>
      <c r="I83" s="5">
        <v>9.4700000000000006</v>
      </c>
      <c r="J83" s="5">
        <v>317.25</v>
      </c>
    </row>
    <row r="84" spans="1:10" ht="15" thickBot="1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5">
        <v>167</v>
      </c>
      <c r="I84" s="5">
        <v>296.26</v>
      </c>
      <c r="J84" s="5">
        <v>163.11000000000001</v>
      </c>
    </row>
    <row r="85" spans="1:10" ht="15" thickBot="1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5">
        <v>48</v>
      </c>
      <c r="I85" s="5">
        <v>301.36</v>
      </c>
      <c r="J85" s="5">
        <v>262.32</v>
      </c>
    </row>
    <row r="86" spans="1:10" ht="15" thickBot="1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5">
        <v>424</v>
      </c>
      <c r="I86" s="5">
        <v>201.35</v>
      </c>
      <c r="J86" s="5">
        <v>142.99</v>
      </c>
    </row>
    <row r="87" spans="1:10" ht="15" thickBot="1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5">
        <v>91</v>
      </c>
      <c r="I87" s="5">
        <v>122.33</v>
      </c>
      <c r="J87" s="5">
        <v>211.15</v>
      </c>
    </row>
    <row r="88" spans="1:10" ht="29.4" thickBot="1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5">
        <v>365</v>
      </c>
      <c r="I88" s="5">
        <v>121.16</v>
      </c>
      <c r="J88" s="5">
        <v>193.69</v>
      </c>
    </row>
    <row r="89" spans="1:10" ht="29.4" thickBot="1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5">
        <v>267</v>
      </c>
      <c r="I89" s="5">
        <v>442.44</v>
      </c>
      <c r="J89" s="5">
        <v>72.400000000000006</v>
      </c>
    </row>
    <row r="90" spans="1:10" ht="29.4" thickBot="1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5">
        <v>215</v>
      </c>
      <c r="I90" s="5">
        <v>223.8</v>
      </c>
      <c r="J90" s="5">
        <v>156.06</v>
      </c>
    </row>
    <row r="91" spans="1:10" ht="29.4" thickBot="1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5">
        <v>86</v>
      </c>
      <c r="I91" s="5">
        <v>168.79</v>
      </c>
      <c r="J91" s="5">
        <v>385.6</v>
      </c>
    </row>
    <row r="92" spans="1:10" ht="15" thickBot="1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5">
        <v>486</v>
      </c>
      <c r="I92" s="5">
        <v>227.14</v>
      </c>
      <c r="J92" s="5">
        <v>100.93</v>
      </c>
    </row>
    <row r="93" spans="1:10" ht="29.4" thickBot="1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5">
        <v>21</v>
      </c>
      <c r="I93" s="3"/>
      <c r="J93" s="5">
        <v>55.25</v>
      </c>
    </row>
    <row r="94" spans="1:10" ht="15" thickBot="1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5">
        <v>304</v>
      </c>
      <c r="I94" s="5">
        <v>77.150000000000006</v>
      </c>
      <c r="J94" s="5">
        <v>168.6</v>
      </c>
    </row>
    <row r="95" spans="1:10" ht="29.4" thickBot="1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5">
        <v>459</v>
      </c>
      <c r="I95" s="5">
        <v>227.47</v>
      </c>
      <c r="J95" s="5">
        <v>316.55</v>
      </c>
    </row>
    <row r="96" spans="1:10" ht="15" thickBot="1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5">
        <v>233</v>
      </c>
      <c r="I96" s="5">
        <v>296</v>
      </c>
      <c r="J96" s="5">
        <v>233.69</v>
      </c>
    </row>
    <row r="97" spans="1:10" ht="29.4" thickBot="1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5">
        <v>22</v>
      </c>
      <c r="I97" s="5">
        <v>474.55</v>
      </c>
      <c r="J97" s="5">
        <v>273.02999999999997</v>
      </c>
    </row>
    <row r="98" spans="1:10" ht="15" thickBot="1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5">
        <v>55</v>
      </c>
      <c r="I98" s="5">
        <v>130</v>
      </c>
      <c r="J98" s="5">
        <v>77.5</v>
      </c>
    </row>
    <row r="99" spans="1:10" ht="15" thickBot="1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5">
        <v>164</v>
      </c>
      <c r="I99" s="5">
        <v>182.83</v>
      </c>
      <c r="J99" s="5">
        <v>248.34</v>
      </c>
    </row>
    <row r="100" spans="1:10" ht="29.4" thickBot="1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5">
        <v>122</v>
      </c>
      <c r="I100" s="5">
        <v>192.78</v>
      </c>
      <c r="J100" s="5">
        <v>130.75</v>
      </c>
    </row>
    <row r="101" spans="1:10" ht="29.4" thickBot="1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5">
        <v>242</v>
      </c>
      <c r="I101" s="5">
        <v>304.74</v>
      </c>
      <c r="J101" s="5">
        <v>334.05</v>
      </c>
    </row>
    <row r="102" spans="1:10" ht="29.4" thickBot="1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5">
        <v>26</v>
      </c>
      <c r="I102" s="5">
        <v>181.58</v>
      </c>
      <c r="J102" s="5">
        <v>252.46</v>
      </c>
    </row>
    <row r="103" spans="1:10" ht="15" thickBot="1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5">
        <v>369</v>
      </c>
      <c r="I103" s="5">
        <v>269.08999999999997</v>
      </c>
      <c r="J103" s="5">
        <v>81.14</v>
      </c>
    </row>
    <row r="104" spans="1:10" ht="29.4" thickBot="1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5">
        <v>232</v>
      </c>
      <c r="I104" s="5">
        <v>391.99</v>
      </c>
      <c r="J104" s="5">
        <v>27.72</v>
      </c>
    </row>
    <row r="105" spans="1:10" ht="15" thickBot="1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5">
        <v>363</v>
      </c>
      <c r="I105" s="5">
        <v>354.17</v>
      </c>
      <c r="J105" s="5">
        <v>18.97</v>
      </c>
    </row>
    <row r="106" spans="1:10" ht="29.4" thickBot="1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5">
        <v>197</v>
      </c>
      <c r="I106" s="5">
        <v>225.95</v>
      </c>
      <c r="J106" s="5">
        <v>149.82</v>
      </c>
    </row>
    <row r="107" spans="1:10" ht="29.4" thickBot="1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5">
        <v>457</v>
      </c>
      <c r="I107" s="5">
        <v>432.79</v>
      </c>
      <c r="J107" s="5">
        <v>107.81</v>
      </c>
    </row>
    <row r="108" spans="1:10" ht="15" thickBot="1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5">
        <v>353</v>
      </c>
      <c r="I108" s="5">
        <v>281.27999999999997</v>
      </c>
      <c r="J108" s="5">
        <v>259.14</v>
      </c>
    </row>
    <row r="109" spans="1:10" ht="29.4" thickBot="1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5">
        <v>374</v>
      </c>
      <c r="I109" s="5">
        <v>272.25</v>
      </c>
      <c r="J109" s="5">
        <v>200.73</v>
      </c>
    </row>
    <row r="110" spans="1:10" ht="29.4" thickBot="1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5">
        <v>172</v>
      </c>
      <c r="I110" s="5">
        <v>21.92</v>
      </c>
      <c r="J110" s="5">
        <v>107.88</v>
      </c>
    </row>
    <row r="111" spans="1:10" ht="29.4" thickBot="1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5">
        <v>335</v>
      </c>
      <c r="I111" s="5">
        <v>493.41</v>
      </c>
      <c r="J111" s="5">
        <v>61.4</v>
      </c>
    </row>
    <row r="112" spans="1:10" ht="15" thickBot="1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5">
        <v>476</v>
      </c>
      <c r="I112" s="5">
        <v>65.87</v>
      </c>
      <c r="J112" s="5">
        <v>52.63</v>
      </c>
    </row>
    <row r="113" spans="1:10" ht="29.4" thickBot="1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5">
        <v>423</v>
      </c>
      <c r="I113" s="5">
        <v>119.41</v>
      </c>
      <c r="J113" s="5">
        <v>346.13</v>
      </c>
    </row>
    <row r="114" spans="1:10" ht="29.4" thickBot="1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5">
        <v>464</v>
      </c>
      <c r="I114" s="5">
        <v>30.59</v>
      </c>
      <c r="J114" s="5">
        <v>98.9</v>
      </c>
    </row>
    <row r="115" spans="1:10" ht="29.4" thickBot="1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5">
        <v>83</v>
      </c>
      <c r="I115" s="5">
        <v>321.8</v>
      </c>
      <c r="J115" s="5">
        <v>261.38</v>
      </c>
    </row>
    <row r="116" spans="1:10" ht="29.4" thickBot="1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5">
        <v>242</v>
      </c>
      <c r="I116" s="5">
        <v>116.23</v>
      </c>
      <c r="J116" s="5">
        <v>324.64999999999998</v>
      </c>
    </row>
    <row r="117" spans="1:10" ht="15" thickBot="1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5">
        <v>233</v>
      </c>
      <c r="I117" s="5">
        <v>94.11</v>
      </c>
      <c r="J117" s="5">
        <v>246.4</v>
      </c>
    </row>
    <row r="118" spans="1:10" ht="15" thickBot="1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5">
        <v>491</v>
      </c>
      <c r="I118" s="5">
        <v>48.84</v>
      </c>
      <c r="J118" s="5">
        <v>344.11</v>
      </c>
    </row>
    <row r="119" spans="1:10" ht="15" thickBot="1">
      <c r="A119" s="3" t="s">
        <v>146</v>
      </c>
      <c r="B119" s="3"/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5">
        <v>328</v>
      </c>
      <c r="I119" s="5">
        <v>56.14</v>
      </c>
      <c r="J119" s="5">
        <v>158.16999999999999</v>
      </c>
    </row>
    <row r="120" spans="1:10" ht="29.4" thickBot="1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5">
        <v>421</v>
      </c>
      <c r="I120" s="5">
        <v>294.41000000000003</v>
      </c>
      <c r="J120" s="5">
        <v>382.58</v>
      </c>
    </row>
    <row r="121" spans="1:10" ht="29.4" thickBot="1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5">
        <v>69</v>
      </c>
      <c r="I121" s="5">
        <v>345.66</v>
      </c>
      <c r="J121" s="5">
        <v>54.99</v>
      </c>
    </row>
    <row r="122" spans="1:10" ht="29.4" thickBot="1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5">
        <v>344</v>
      </c>
      <c r="I122" s="5">
        <v>201.7</v>
      </c>
      <c r="J122" s="5">
        <v>42.66</v>
      </c>
    </row>
    <row r="123" spans="1:10" ht="29.4" thickBot="1">
      <c r="A123" s="3" t="s">
        <v>150</v>
      </c>
      <c r="B123" s="3"/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5">
        <v>231</v>
      </c>
      <c r="I123" s="5">
        <v>242.55</v>
      </c>
      <c r="J123" s="5">
        <v>264.16000000000003</v>
      </c>
    </row>
    <row r="124" spans="1:10" ht="15" thickBot="1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5">
        <v>46</v>
      </c>
      <c r="I124" s="5">
        <v>344.55</v>
      </c>
      <c r="J124" s="5">
        <v>377.25</v>
      </c>
    </row>
    <row r="125" spans="1:10" ht="29.4" thickBot="1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5">
        <v>486</v>
      </c>
      <c r="I125" s="5">
        <v>13.6</v>
      </c>
      <c r="J125" s="5">
        <v>323.94</v>
      </c>
    </row>
    <row r="126" spans="1:10" ht="29.4" thickBot="1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5">
        <v>287</v>
      </c>
      <c r="I126" s="5">
        <v>164.95</v>
      </c>
      <c r="J126" s="5">
        <v>32.409999999999997</v>
      </c>
    </row>
    <row r="127" spans="1:10" ht="15" thickBot="1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5">
        <v>205</v>
      </c>
      <c r="I127" s="5">
        <v>486.68</v>
      </c>
      <c r="J127" s="5">
        <v>113.19</v>
      </c>
    </row>
    <row r="128" spans="1:10" ht="29.4" thickBot="1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5">
        <v>413</v>
      </c>
      <c r="I128" s="5">
        <v>292.16000000000003</v>
      </c>
      <c r="J128" s="5">
        <v>372.27</v>
      </c>
    </row>
    <row r="129" spans="1:10" ht="29.4" thickBot="1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5">
        <v>361</v>
      </c>
      <c r="I129" s="5">
        <v>130.84</v>
      </c>
      <c r="J129" s="5">
        <v>102.72</v>
      </c>
    </row>
    <row r="130" spans="1:10" ht="15" thickBot="1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5">
        <v>493</v>
      </c>
      <c r="I130" s="5">
        <v>263.26</v>
      </c>
      <c r="J130" s="5">
        <v>312.91000000000003</v>
      </c>
    </row>
    <row r="131" spans="1:10" ht="15" thickBot="1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5">
        <v>251</v>
      </c>
      <c r="I131" s="5">
        <v>174.61</v>
      </c>
      <c r="J131" s="5">
        <v>330.4</v>
      </c>
    </row>
    <row r="132" spans="1:10" ht="15" thickBot="1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/>
      <c r="I132" s="5">
        <v>268.45999999999998</v>
      </c>
      <c r="J132" s="5">
        <v>199.19</v>
      </c>
    </row>
    <row r="133" spans="1:10" ht="15" thickBot="1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5">
        <v>228</v>
      </c>
      <c r="I133" s="5">
        <v>67.239999999999995</v>
      </c>
      <c r="J133" s="5">
        <v>155.77000000000001</v>
      </c>
    </row>
    <row r="134" spans="1:10" ht="15" thickBot="1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5">
        <v>201</v>
      </c>
      <c r="I134" s="5">
        <v>70.69</v>
      </c>
      <c r="J134" s="5">
        <v>181.15</v>
      </c>
    </row>
    <row r="135" spans="1:10" ht="15" thickBot="1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5">
        <v>26</v>
      </c>
      <c r="I135" s="5">
        <v>76.05</v>
      </c>
      <c r="J135" s="5">
        <v>92.33</v>
      </c>
    </row>
    <row r="136" spans="1:10" ht="15" thickBot="1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5">
        <v>21</v>
      </c>
      <c r="I136" s="5">
        <v>470.21</v>
      </c>
      <c r="J136" s="5">
        <v>355.98</v>
      </c>
    </row>
    <row r="137" spans="1:10" ht="15" thickBot="1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5">
        <v>415</v>
      </c>
      <c r="I137" s="5">
        <v>367.78</v>
      </c>
      <c r="J137" s="5">
        <v>181.35</v>
      </c>
    </row>
    <row r="138" spans="1:10" ht="15" thickBot="1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5">
        <v>410</v>
      </c>
      <c r="I138" s="5">
        <v>85.38</v>
      </c>
      <c r="J138" s="5">
        <v>353.22</v>
      </c>
    </row>
    <row r="139" spans="1:10" ht="29.4" thickBot="1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5">
        <v>403</v>
      </c>
      <c r="I139" s="5">
        <v>98.23</v>
      </c>
      <c r="J139" s="5">
        <v>44.07</v>
      </c>
    </row>
    <row r="140" spans="1:10" ht="15" thickBot="1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5">
        <v>383</v>
      </c>
      <c r="I140" s="5">
        <v>366.76</v>
      </c>
      <c r="J140" s="5">
        <v>395.33</v>
      </c>
    </row>
    <row r="141" spans="1:10" ht="29.4" thickBot="1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5">
        <v>202</v>
      </c>
      <c r="I141" s="5">
        <v>82.3</v>
      </c>
      <c r="J141" s="5">
        <v>178.42</v>
      </c>
    </row>
    <row r="142" spans="1:10" ht="15" thickBot="1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5">
        <v>31</v>
      </c>
      <c r="I142" s="5">
        <v>121.11</v>
      </c>
      <c r="J142" s="5">
        <v>21.04</v>
      </c>
    </row>
    <row r="143" spans="1:10" ht="29.4" thickBot="1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5">
        <v>483</v>
      </c>
      <c r="I143" s="5">
        <v>481.86</v>
      </c>
      <c r="J143" s="5">
        <v>17.13</v>
      </c>
    </row>
    <row r="144" spans="1:10" ht="29.4" thickBot="1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5">
        <v>129</v>
      </c>
      <c r="I144" s="5">
        <v>131.38</v>
      </c>
      <c r="J144" s="5">
        <v>298.99</v>
      </c>
    </row>
    <row r="145" spans="1:10" ht="29.4" thickBot="1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5">
        <v>219</v>
      </c>
      <c r="I145" s="5">
        <v>332.51</v>
      </c>
      <c r="J145" s="5">
        <v>264.3</v>
      </c>
    </row>
    <row r="146" spans="1:10" ht="29.4" thickBot="1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5">
        <v>315</v>
      </c>
      <c r="I146" s="5">
        <v>489.42</v>
      </c>
      <c r="J146" s="5">
        <v>321.25</v>
      </c>
    </row>
    <row r="147" spans="1:10" ht="15" thickBot="1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5">
        <v>279</v>
      </c>
      <c r="I147" s="5">
        <v>190.28</v>
      </c>
      <c r="J147" s="5">
        <v>43.94</v>
      </c>
    </row>
    <row r="148" spans="1:10" ht="15" thickBot="1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5">
        <v>201</v>
      </c>
      <c r="I148" s="5">
        <v>13.67</v>
      </c>
      <c r="J148" s="5">
        <v>16.16</v>
      </c>
    </row>
    <row r="149" spans="1:10" ht="15" thickBot="1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5">
        <v>184</v>
      </c>
      <c r="I149" s="5">
        <v>125.85</v>
      </c>
      <c r="J149" s="5">
        <v>204.41</v>
      </c>
    </row>
    <row r="150" spans="1:10" ht="15" thickBot="1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5">
        <v>294</v>
      </c>
      <c r="I150" s="5">
        <v>416.28</v>
      </c>
      <c r="J150" s="5">
        <v>156.26</v>
      </c>
    </row>
    <row r="151" spans="1:10" ht="15" thickBot="1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5">
        <v>213</v>
      </c>
      <c r="I151" s="5">
        <v>432.98</v>
      </c>
      <c r="J151" s="5">
        <v>185.85</v>
      </c>
    </row>
    <row r="152" spans="1:10" ht="15" thickBot="1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5">
        <v>173</v>
      </c>
      <c r="I152" s="5">
        <v>385.42</v>
      </c>
      <c r="J152" s="5">
        <v>396.65</v>
      </c>
    </row>
    <row r="153" spans="1:10" ht="15" thickBot="1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5">
        <v>260</v>
      </c>
      <c r="I153" s="5">
        <v>60.99</v>
      </c>
      <c r="J153" s="5">
        <v>388.36</v>
      </c>
    </row>
    <row r="154" spans="1:10" ht="15" thickBot="1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5">
        <v>236</v>
      </c>
      <c r="I154" s="5">
        <v>398.78</v>
      </c>
      <c r="J154" s="5">
        <v>377.04</v>
      </c>
    </row>
    <row r="155" spans="1:10" ht="15" thickBot="1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5">
        <v>445</v>
      </c>
      <c r="I155" s="5">
        <v>459.75</v>
      </c>
      <c r="J155" s="5">
        <v>313.97000000000003</v>
      </c>
    </row>
    <row r="156" spans="1:10" ht="15" thickBot="1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5">
        <v>390</v>
      </c>
      <c r="I156" s="5">
        <v>302.3</v>
      </c>
      <c r="J156" s="5">
        <v>143.22999999999999</v>
      </c>
    </row>
    <row r="157" spans="1:10" ht="15" thickBot="1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5">
        <v>469</v>
      </c>
      <c r="I157" s="5">
        <v>470.73</v>
      </c>
      <c r="J157" s="5">
        <v>166.03</v>
      </c>
    </row>
    <row r="158" spans="1:10" ht="15" thickBot="1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5">
        <v>16</v>
      </c>
      <c r="I158" s="3"/>
      <c r="J158" s="5">
        <v>220.75</v>
      </c>
    </row>
    <row r="159" spans="1:10" ht="29.4" thickBot="1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5">
        <v>38</v>
      </c>
      <c r="I159" s="5">
        <v>335.15</v>
      </c>
      <c r="J159" s="5">
        <v>332.55</v>
      </c>
    </row>
    <row r="160" spans="1:10" ht="15" thickBot="1">
      <c r="A160" s="3" t="s">
        <v>187</v>
      </c>
      <c r="B160" s="3" t="s">
        <v>22</v>
      </c>
      <c r="C160" s="3" t="s">
        <v>31</v>
      </c>
      <c r="D160" s="3"/>
      <c r="E160" s="3" t="s">
        <v>24</v>
      </c>
      <c r="F160" s="3" t="s">
        <v>28</v>
      </c>
      <c r="G160" s="4">
        <v>45085</v>
      </c>
      <c r="H160" s="5">
        <v>404</v>
      </c>
      <c r="I160" s="5">
        <v>290.70999999999998</v>
      </c>
      <c r="J160" s="5">
        <v>29.35</v>
      </c>
    </row>
    <row r="161" spans="1:10" ht="15" thickBot="1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5">
        <v>42</v>
      </c>
      <c r="I161" s="5">
        <v>177.54</v>
      </c>
      <c r="J161" s="5">
        <v>170.87</v>
      </c>
    </row>
    <row r="162" spans="1:10" ht="15" thickBot="1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5">
        <v>143</v>
      </c>
      <c r="I162" s="5">
        <v>83.85</v>
      </c>
      <c r="J162" s="5">
        <v>34.880000000000003</v>
      </c>
    </row>
    <row r="163" spans="1:10" ht="15" thickBot="1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5">
        <v>376</v>
      </c>
      <c r="I163" s="5">
        <v>304.45</v>
      </c>
      <c r="J163" s="5">
        <v>206.83</v>
      </c>
    </row>
    <row r="164" spans="1:10" ht="29.4" thickBot="1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5">
        <v>88</v>
      </c>
      <c r="I164" s="5">
        <v>162.47</v>
      </c>
      <c r="J164" s="5">
        <v>359.76</v>
      </c>
    </row>
    <row r="165" spans="1:10" ht="29.4" thickBot="1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5">
        <v>425</v>
      </c>
      <c r="I165" s="5">
        <v>433.89</v>
      </c>
      <c r="J165" s="5">
        <v>313.43</v>
      </c>
    </row>
    <row r="166" spans="1:10" ht="29.4" thickBot="1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5">
        <v>444</v>
      </c>
      <c r="I166" s="5">
        <v>496.7</v>
      </c>
      <c r="J166" s="5">
        <v>92.68</v>
      </c>
    </row>
    <row r="167" spans="1:10" ht="15" thickBot="1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5">
        <v>468</v>
      </c>
      <c r="I167" s="5">
        <v>377.45</v>
      </c>
      <c r="J167" s="5">
        <v>390.44</v>
      </c>
    </row>
    <row r="168" spans="1:10" ht="15" thickBot="1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5">
        <v>67</v>
      </c>
      <c r="I168" s="5">
        <v>49.79</v>
      </c>
      <c r="J168" s="5">
        <v>267.61</v>
      </c>
    </row>
    <row r="169" spans="1:10" ht="29.4" thickBot="1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5">
        <v>480</v>
      </c>
      <c r="I169" s="5">
        <v>147.9</v>
      </c>
      <c r="J169" s="5">
        <v>6.15</v>
      </c>
    </row>
    <row r="170" spans="1:10" ht="15" thickBot="1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5">
        <v>35</v>
      </c>
      <c r="I170" s="5">
        <v>59.01</v>
      </c>
      <c r="J170" s="5">
        <v>103.65</v>
      </c>
    </row>
    <row r="171" spans="1:10" ht="29.4" thickBot="1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5">
        <v>491</v>
      </c>
      <c r="I171" s="5">
        <v>327</v>
      </c>
      <c r="J171" s="5">
        <v>105.76</v>
      </c>
    </row>
    <row r="172" spans="1:10" ht="15" thickBot="1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5">
        <v>439</v>
      </c>
      <c r="I172" s="5">
        <v>383.77</v>
      </c>
      <c r="J172" s="5">
        <v>29.56</v>
      </c>
    </row>
    <row r="173" spans="1:10" ht="15" thickBot="1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5">
        <v>235</v>
      </c>
      <c r="I173" s="5">
        <v>463.21</v>
      </c>
      <c r="J173" s="5">
        <v>384.01</v>
      </c>
    </row>
    <row r="174" spans="1:10" ht="29.4" thickBot="1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5">
        <v>294</v>
      </c>
      <c r="I174" s="5">
        <v>221.9</v>
      </c>
      <c r="J174" s="5">
        <v>192.35</v>
      </c>
    </row>
    <row r="175" spans="1:10" ht="15" thickBot="1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5">
        <v>13</v>
      </c>
      <c r="I175" s="5">
        <v>451.18</v>
      </c>
      <c r="J175" s="5">
        <v>358.53</v>
      </c>
    </row>
    <row r="176" spans="1:10" ht="29.4" thickBot="1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5">
        <v>474</v>
      </c>
      <c r="I176" s="5">
        <v>439.56</v>
      </c>
      <c r="J176" s="5">
        <v>130.24</v>
      </c>
    </row>
    <row r="177" spans="1:10" ht="15" thickBot="1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5">
        <v>108</v>
      </c>
      <c r="I177" s="5">
        <v>162.01</v>
      </c>
      <c r="J177" s="5">
        <v>51.84</v>
      </c>
    </row>
    <row r="178" spans="1:10" ht="29.4" thickBot="1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5">
        <v>406</v>
      </c>
      <c r="I178" s="5">
        <v>435.11</v>
      </c>
      <c r="J178" s="5">
        <v>190.79</v>
      </c>
    </row>
    <row r="179" spans="1:10" ht="15" thickBot="1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5">
        <v>498</v>
      </c>
      <c r="I179" s="5">
        <v>190.96</v>
      </c>
      <c r="J179" s="5">
        <v>47.35</v>
      </c>
    </row>
    <row r="180" spans="1:10" ht="15" thickBot="1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5">
        <v>48</v>
      </c>
      <c r="I180" s="5">
        <v>151.94999999999999</v>
      </c>
      <c r="J180" s="5">
        <v>195.43</v>
      </c>
    </row>
    <row r="181" spans="1:10" ht="15" thickBot="1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5">
        <v>280</v>
      </c>
      <c r="I181" s="5">
        <v>326.29000000000002</v>
      </c>
      <c r="J181" s="5">
        <v>368.28</v>
      </c>
    </row>
    <row r="182" spans="1:10" ht="15" thickBot="1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5">
        <v>384</v>
      </c>
      <c r="I182" s="5">
        <v>167.55</v>
      </c>
      <c r="J182" s="5">
        <v>209.27</v>
      </c>
    </row>
    <row r="183" spans="1:10" ht="29.4" thickBot="1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5">
        <v>294</v>
      </c>
      <c r="I183" s="5">
        <v>316.95</v>
      </c>
      <c r="J183" s="5">
        <v>247.37</v>
      </c>
    </row>
    <row r="184" spans="1:10" ht="15" thickBot="1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5">
        <v>166</v>
      </c>
      <c r="I184" s="5">
        <v>306.87</v>
      </c>
      <c r="J184" s="5">
        <v>64.34</v>
      </c>
    </row>
    <row r="185" spans="1:10" ht="15" thickBot="1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5">
        <v>84</v>
      </c>
      <c r="I185" s="5">
        <v>283.89999999999998</v>
      </c>
      <c r="J185" s="5">
        <v>19.41</v>
      </c>
    </row>
    <row r="186" spans="1:10" ht="15" thickBot="1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5">
        <v>381</v>
      </c>
      <c r="I186" s="5">
        <v>193.31</v>
      </c>
      <c r="J186" s="5">
        <v>46.1</v>
      </c>
    </row>
    <row r="187" spans="1:10" ht="29.4" thickBot="1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5">
        <v>297</v>
      </c>
      <c r="I187" s="5">
        <v>276.51</v>
      </c>
      <c r="J187" s="5">
        <v>240.22</v>
      </c>
    </row>
    <row r="188" spans="1:10" ht="15" thickBot="1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5">
        <v>139</v>
      </c>
      <c r="I188" s="5">
        <v>300.26</v>
      </c>
      <c r="J188" s="5">
        <v>39.81</v>
      </c>
    </row>
    <row r="189" spans="1:10" ht="15" thickBot="1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5">
        <v>184</v>
      </c>
      <c r="I189" s="5">
        <v>275.12</v>
      </c>
      <c r="J189" s="5">
        <v>151.65</v>
      </c>
    </row>
    <row r="190" spans="1:10" ht="15" thickBot="1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5">
        <v>471</v>
      </c>
      <c r="I190" s="5">
        <v>224.99</v>
      </c>
      <c r="J190" s="5">
        <v>220.94</v>
      </c>
    </row>
    <row r="191" spans="1:10" ht="29.4" thickBot="1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5">
        <v>93</v>
      </c>
      <c r="I191" s="5">
        <v>12.26</v>
      </c>
      <c r="J191" s="5">
        <v>156.68</v>
      </c>
    </row>
    <row r="192" spans="1:10" ht="15" thickBot="1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5">
        <v>31</v>
      </c>
      <c r="I192" s="5">
        <v>295.60000000000002</v>
      </c>
      <c r="J192" s="5">
        <v>67.150000000000006</v>
      </c>
    </row>
    <row r="193" spans="1:10" ht="29.4" thickBot="1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5">
        <v>468</v>
      </c>
      <c r="I193" s="5">
        <v>88.38</v>
      </c>
      <c r="J193" s="5">
        <v>110.97</v>
      </c>
    </row>
    <row r="194" spans="1:10" ht="15" thickBot="1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5">
        <v>36</v>
      </c>
      <c r="I194" s="5">
        <v>323.08</v>
      </c>
      <c r="J194" s="5">
        <v>371.47</v>
      </c>
    </row>
    <row r="195" spans="1:10" ht="15" thickBot="1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5">
        <v>204</v>
      </c>
      <c r="I195" s="5">
        <v>380.88</v>
      </c>
      <c r="J195" s="5">
        <v>271.04000000000002</v>
      </c>
    </row>
    <row r="196" spans="1:10" ht="15" thickBot="1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5">
        <v>346</v>
      </c>
      <c r="I196" s="5">
        <v>252.72</v>
      </c>
      <c r="J196" s="5">
        <v>199.43</v>
      </c>
    </row>
    <row r="197" spans="1:10" ht="29.4" thickBot="1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5">
        <v>391</v>
      </c>
      <c r="I197" s="5">
        <v>273.47000000000003</v>
      </c>
      <c r="J197" s="5">
        <v>7.06</v>
      </c>
    </row>
    <row r="198" spans="1:10" ht="29.4" thickBot="1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5">
        <v>245</v>
      </c>
      <c r="I198" s="5">
        <v>475.98</v>
      </c>
      <c r="J198" s="5">
        <v>396.98</v>
      </c>
    </row>
    <row r="199" spans="1:10" ht="15" thickBot="1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5">
        <v>449</v>
      </c>
      <c r="I199" s="5">
        <v>424.35</v>
      </c>
      <c r="J199" s="5">
        <v>269.24</v>
      </c>
    </row>
    <row r="200" spans="1:10" ht="15" thickBot="1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5">
        <v>101</v>
      </c>
      <c r="I200" s="5">
        <v>457.55</v>
      </c>
      <c r="J200" s="5">
        <v>128.13999999999999</v>
      </c>
    </row>
    <row r="201" spans="1:10" ht="15" thickBot="1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/>
      <c r="I201" s="5">
        <v>407.81</v>
      </c>
      <c r="J201" s="5">
        <v>351.95</v>
      </c>
    </row>
    <row r="202" spans="1:10" ht="29.4" thickBot="1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5">
        <v>30</v>
      </c>
      <c r="I202" s="5">
        <v>58.91</v>
      </c>
      <c r="J202" s="5">
        <v>104.86</v>
      </c>
    </row>
    <row r="203" spans="1:10" ht="29.4" thickBot="1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5">
        <v>312</v>
      </c>
      <c r="I203" s="5">
        <v>78.75</v>
      </c>
      <c r="J203" s="5">
        <v>218.52</v>
      </c>
    </row>
    <row r="204" spans="1:10" ht="29.4" thickBot="1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5">
        <v>473</v>
      </c>
      <c r="I204" s="5">
        <v>265.68</v>
      </c>
      <c r="J204" s="5">
        <v>255.16</v>
      </c>
    </row>
    <row r="205" spans="1:10" ht="29.4" thickBot="1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5">
        <v>366</v>
      </c>
      <c r="I205" s="5">
        <v>126.8</v>
      </c>
      <c r="J205" s="5">
        <v>89.98</v>
      </c>
    </row>
    <row r="206" spans="1:10" ht="29.4" thickBot="1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5">
        <v>452</v>
      </c>
      <c r="I206" s="5">
        <v>240.96</v>
      </c>
      <c r="J206" s="5">
        <v>391.4</v>
      </c>
    </row>
    <row r="207" spans="1:10" ht="15" thickBot="1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5">
        <v>93</v>
      </c>
      <c r="I207" s="5">
        <v>200.21</v>
      </c>
      <c r="J207" s="5">
        <v>299.77999999999997</v>
      </c>
    </row>
    <row r="208" spans="1:10" ht="15" thickBot="1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5">
        <v>271</v>
      </c>
      <c r="I208" s="5">
        <v>276.95999999999998</v>
      </c>
      <c r="J208" s="5">
        <v>224.01</v>
      </c>
    </row>
    <row r="209" spans="1:10" ht="15" thickBot="1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5">
        <v>156</v>
      </c>
      <c r="I209" s="5">
        <v>374.7</v>
      </c>
      <c r="J209" s="5">
        <v>73.88</v>
      </c>
    </row>
    <row r="210" spans="1:10" ht="29.4" thickBot="1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5">
        <v>450</v>
      </c>
      <c r="I210" s="5">
        <v>359.17</v>
      </c>
      <c r="J210" s="5">
        <v>23.44</v>
      </c>
    </row>
    <row r="211" spans="1:10" ht="15" thickBot="1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5">
        <v>462</v>
      </c>
      <c r="I211" s="5">
        <v>263.01</v>
      </c>
      <c r="J211" s="5">
        <v>129.38</v>
      </c>
    </row>
    <row r="212" spans="1:10" ht="15" thickBot="1">
      <c r="A212" s="3" t="s">
        <v>239</v>
      </c>
      <c r="B212" s="3" t="s">
        <v>11</v>
      </c>
      <c r="C212" s="3" t="s">
        <v>50</v>
      </c>
      <c r="D212" s="3"/>
      <c r="E212" s="3" t="s">
        <v>14</v>
      </c>
      <c r="F212" s="3" t="s">
        <v>28</v>
      </c>
      <c r="G212" s="4">
        <v>45137</v>
      </c>
      <c r="H212" s="5">
        <v>396</v>
      </c>
      <c r="I212" s="5">
        <v>412.08</v>
      </c>
      <c r="J212" s="5">
        <v>301.77</v>
      </c>
    </row>
    <row r="213" spans="1:10" ht="15" thickBot="1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5">
        <v>266</v>
      </c>
      <c r="I213" s="5">
        <v>218.28</v>
      </c>
      <c r="J213" s="5">
        <v>109.19</v>
      </c>
    </row>
    <row r="214" spans="1:10" ht="29.4" thickBot="1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5">
        <v>67</v>
      </c>
      <c r="I214" s="5">
        <v>448.87</v>
      </c>
      <c r="J214" s="5">
        <v>216.74</v>
      </c>
    </row>
    <row r="215" spans="1:10" ht="15" thickBot="1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5">
        <v>389</v>
      </c>
      <c r="I215" s="5">
        <v>40.28</v>
      </c>
      <c r="J215" s="5">
        <v>291.72000000000003</v>
      </c>
    </row>
    <row r="216" spans="1:10" ht="29.4" thickBot="1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5">
        <v>431</v>
      </c>
      <c r="I216" s="5">
        <v>477.56</v>
      </c>
      <c r="J216" s="5">
        <v>44.96</v>
      </c>
    </row>
    <row r="217" spans="1:10" ht="29.4" thickBot="1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5">
        <v>24</v>
      </c>
      <c r="I217" s="5">
        <v>329.07</v>
      </c>
      <c r="J217" s="5">
        <v>274.75</v>
      </c>
    </row>
    <row r="218" spans="1:10" ht="15" thickBot="1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5">
        <v>171</v>
      </c>
      <c r="I218" s="5">
        <v>193.14</v>
      </c>
      <c r="J218" s="5">
        <v>38.56</v>
      </c>
    </row>
    <row r="219" spans="1:10" ht="29.4" thickBot="1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5">
        <v>454</v>
      </c>
      <c r="I219" s="5">
        <v>102.59</v>
      </c>
      <c r="J219" s="5">
        <v>386.12</v>
      </c>
    </row>
    <row r="220" spans="1:10" ht="29.4" thickBot="1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5">
        <v>172</v>
      </c>
      <c r="I220" s="5">
        <v>242.2</v>
      </c>
      <c r="J220" s="5">
        <v>196.38</v>
      </c>
    </row>
    <row r="221" spans="1:10" ht="15" thickBot="1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5">
        <v>329</v>
      </c>
      <c r="I221" s="5">
        <v>101.31</v>
      </c>
      <c r="J221" s="5">
        <v>61.97</v>
      </c>
    </row>
    <row r="222" spans="1:10" ht="15" thickBot="1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5">
        <v>290</v>
      </c>
      <c r="I222" s="5">
        <v>87.33</v>
      </c>
      <c r="J222" s="5">
        <v>138.27000000000001</v>
      </c>
    </row>
    <row r="223" spans="1:10" ht="29.4" thickBot="1">
      <c r="A223" s="3" t="s">
        <v>250</v>
      </c>
      <c r="B223" s="3"/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5">
        <v>289</v>
      </c>
      <c r="I223" s="5">
        <v>310.58999999999997</v>
      </c>
      <c r="J223" s="5">
        <v>166.54</v>
      </c>
    </row>
    <row r="224" spans="1:10" ht="29.4" thickBot="1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5">
        <v>21</v>
      </c>
      <c r="I224" s="5">
        <v>263.93</v>
      </c>
      <c r="J224" s="5">
        <v>303.76</v>
      </c>
    </row>
    <row r="225" spans="1:10" ht="15" thickBot="1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5">
        <v>283</v>
      </c>
      <c r="I225" s="5">
        <v>336.7</v>
      </c>
      <c r="J225" s="5">
        <v>297.88</v>
      </c>
    </row>
    <row r="226" spans="1:10" ht="29.4" thickBot="1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5">
        <v>280</v>
      </c>
      <c r="I226" s="5">
        <v>465.15</v>
      </c>
      <c r="J226" s="5">
        <v>245.55</v>
      </c>
    </row>
    <row r="227" spans="1:10" ht="15" thickBot="1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5">
        <v>217</v>
      </c>
      <c r="I227" s="5">
        <v>268.47000000000003</v>
      </c>
      <c r="J227" s="5">
        <v>44.16</v>
      </c>
    </row>
    <row r="228" spans="1:10" ht="15" thickBot="1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5">
        <v>36</v>
      </c>
      <c r="I228" s="5">
        <v>292.56</v>
      </c>
      <c r="J228" s="5">
        <v>62.32</v>
      </c>
    </row>
    <row r="229" spans="1:10" ht="15" thickBot="1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/>
      <c r="I229" s="5">
        <v>49.37</v>
      </c>
      <c r="J229" s="5">
        <v>39.32</v>
      </c>
    </row>
    <row r="230" spans="1:10" ht="15" thickBot="1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5">
        <v>69</v>
      </c>
      <c r="I230" s="5">
        <v>360.23</v>
      </c>
      <c r="J230" s="5">
        <v>231.71</v>
      </c>
    </row>
    <row r="231" spans="1:10" ht="29.4" thickBot="1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5">
        <v>439</v>
      </c>
      <c r="I231" s="5">
        <v>202.95</v>
      </c>
      <c r="J231" s="5">
        <v>351.1</v>
      </c>
    </row>
    <row r="232" spans="1:10" ht="15" thickBot="1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5">
        <v>482</v>
      </c>
      <c r="I232" s="5">
        <v>488.48</v>
      </c>
      <c r="J232" s="5">
        <v>174.65</v>
      </c>
    </row>
    <row r="233" spans="1:10" ht="15" thickBot="1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5">
        <v>154</v>
      </c>
      <c r="I233" s="5">
        <v>412.47</v>
      </c>
      <c r="J233" s="5">
        <v>66.02</v>
      </c>
    </row>
    <row r="234" spans="1:10" ht="15" thickBot="1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5">
        <v>102</v>
      </c>
      <c r="I234" s="5">
        <v>263.63</v>
      </c>
      <c r="J234" s="5">
        <v>224.1</v>
      </c>
    </row>
    <row r="235" spans="1:10" ht="15" thickBot="1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5">
        <v>318</v>
      </c>
      <c r="I235" s="5">
        <v>66</v>
      </c>
      <c r="J235" s="5">
        <v>325.08</v>
      </c>
    </row>
    <row r="236" spans="1:10" ht="15" thickBot="1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5">
        <v>17</v>
      </c>
      <c r="I236" s="5">
        <v>430.41</v>
      </c>
      <c r="J236" s="5">
        <v>297.2</v>
      </c>
    </row>
    <row r="237" spans="1:10" ht="15" thickBot="1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5">
        <v>88</v>
      </c>
      <c r="I237" s="5">
        <v>400.89</v>
      </c>
      <c r="J237" s="5">
        <v>352.82</v>
      </c>
    </row>
    <row r="238" spans="1:10" ht="29.4" thickBot="1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5">
        <v>36</v>
      </c>
      <c r="I238" s="5">
        <v>96.37</v>
      </c>
      <c r="J238" s="5">
        <v>112.61</v>
      </c>
    </row>
    <row r="239" spans="1:10" ht="15" thickBot="1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5">
        <v>183</v>
      </c>
      <c r="I239" s="5">
        <v>151.16</v>
      </c>
      <c r="J239" s="5">
        <v>79.19</v>
      </c>
    </row>
    <row r="240" spans="1:10" ht="15" thickBot="1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5">
        <v>59</v>
      </c>
      <c r="I240" s="5">
        <v>397.74</v>
      </c>
      <c r="J240" s="5">
        <v>352.17</v>
      </c>
    </row>
    <row r="241" spans="1:10" ht="15" thickBot="1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5">
        <v>208</v>
      </c>
      <c r="I241" s="5">
        <v>96.69</v>
      </c>
      <c r="J241" s="5">
        <v>263.70999999999998</v>
      </c>
    </row>
    <row r="242" spans="1:10" ht="15" thickBot="1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5">
        <v>396</v>
      </c>
      <c r="I242" s="5">
        <v>459.29</v>
      </c>
      <c r="J242" s="5">
        <v>125.75</v>
      </c>
    </row>
    <row r="243" spans="1:10" ht="29.4" thickBot="1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5">
        <v>358</v>
      </c>
      <c r="I243" s="5">
        <v>215.14</v>
      </c>
      <c r="J243" s="5">
        <v>297.45</v>
      </c>
    </row>
    <row r="244" spans="1:10" ht="29.4" thickBot="1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5">
        <v>457</v>
      </c>
      <c r="I244" s="5">
        <v>48.08</v>
      </c>
      <c r="J244" s="5">
        <v>326.42</v>
      </c>
    </row>
    <row r="245" spans="1:10" ht="15" thickBot="1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5">
        <v>437</v>
      </c>
      <c r="I245" s="5">
        <v>408.8</v>
      </c>
      <c r="J245" s="5">
        <v>246.76</v>
      </c>
    </row>
    <row r="246" spans="1:10" ht="15" thickBot="1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5">
        <v>190</v>
      </c>
      <c r="I246" s="5">
        <v>189.89</v>
      </c>
      <c r="J246" s="5">
        <v>275.77999999999997</v>
      </c>
    </row>
    <row r="247" spans="1:10" ht="29.4" thickBot="1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5">
        <v>33</v>
      </c>
      <c r="I247" s="5">
        <v>265.62</v>
      </c>
      <c r="J247" s="5">
        <v>151.35</v>
      </c>
    </row>
    <row r="248" spans="1:10" ht="29.4" thickBot="1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5">
        <v>325</v>
      </c>
      <c r="I248" s="5">
        <v>60.59</v>
      </c>
      <c r="J248" s="5">
        <v>216.4</v>
      </c>
    </row>
    <row r="249" spans="1:10" ht="15" thickBot="1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5">
        <v>387</v>
      </c>
      <c r="I249" s="5">
        <v>6.28</v>
      </c>
      <c r="J249" s="5">
        <v>210.62</v>
      </c>
    </row>
    <row r="250" spans="1:10" ht="15" thickBot="1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5">
        <v>396</v>
      </c>
      <c r="I250" s="5">
        <v>320.8</v>
      </c>
      <c r="J250" s="5">
        <v>339.52</v>
      </c>
    </row>
    <row r="251" spans="1:10" ht="29.4" thickBot="1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5">
        <v>413</v>
      </c>
      <c r="I251" s="5">
        <v>260.01</v>
      </c>
      <c r="J251" s="5">
        <v>336.31</v>
      </c>
    </row>
    <row r="252" spans="1:10" ht="29.4" thickBot="1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/>
      <c r="I252" s="5">
        <v>298.8</v>
      </c>
      <c r="J252" s="5">
        <v>333.41</v>
      </c>
    </row>
    <row r="253" spans="1:10" ht="29.4" thickBot="1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5">
        <v>24</v>
      </c>
      <c r="I253" s="5">
        <v>397.9</v>
      </c>
      <c r="J253" s="5">
        <v>6.39</v>
      </c>
    </row>
    <row r="254" spans="1:10" ht="15" thickBot="1">
      <c r="A254" s="3" t="s">
        <v>281</v>
      </c>
      <c r="B254" s="3" t="s">
        <v>17</v>
      </c>
      <c r="C254" s="3" t="s">
        <v>12</v>
      </c>
      <c r="D254" s="3"/>
      <c r="E254" s="3" t="s">
        <v>14</v>
      </c>
      <c r="F254" s="3" t="s">
        <v>15</v>
      </c>
      <c r="G254" s="4">
        <v>45179</v>
      </c>
      <c r="H254" s="5">
        <v>162</v>
      </c>
      <c r="I254" s="5">
        <v>325.07</v>
      </c>
      <c r="J254" s="5">
        <v>300.32</v>
      </c>
    </row>
    <row r="255" spans="1:10" ht="29.4" thickBot="1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5">
        <v>231</v>
      </c>
      <c r="I255" s="5">
        <v>91.51</v>
      </c>
      <c r="J255" s="5">
        <v>303.95</v>
      </c>
    </row>
    <row r="256" spans="1:10" ht="15" thickBot="1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5">
        <v>215</v>
      </c>
      <c r="I256" s="5">
        <v>183.58</v>
      </c>
      <c r="J256" s="5">
        <v>271.99</v>
      </c>
    </row>
    <row r="257" spans="1:10" ht="15" thickBot="1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5">
        <v>464</v>
      </c>
      <c r="I257" s="5">
        <v>453.42</v>
      </c>
      <c r="J257" s="5">
        <v>302.99</v>
      </c>
    </row>
    <row r="258" spans="1:10" ht="15" thickBot="1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5">
        <v>282</v>
      </c>
      <c r="I258" s="3"/>
      <c r="J258" s="5">
        <v>337.1</v>
      </c>
    </row>
    <row r="259" spans="1:10" ht="29.4" thickBot="1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5">
        <v>391</v>
      </c>
      <c r="I259" s="5">
        <v>280.54000000000002</v>
      </c>
      <c r="J259" s="5">
        <v>189.19</v>
      </c>
    </row>
    <row r="260" spans="1:10" ht="29.4" thickBot="1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5">
        <v>245</v>
      </c>
      <c r="I260" s="5">
        <v>131.54</v>
      </c>
      <c r="J260" s="5">
        <v>201.82</v>
      </c>
    </row>
    <row r="261" spans="1:10" ht="15" thickBot="1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5">
        <v>349</v>
      </c>
      <c r="I261" s="5">
        <v>154.52000000000001</v>
      </c>
      <c r="J261" s="5">
        <v>51.64</v>
      </c>
    </row>
    <row r="262" spans="1:10" ht="15" thickBot="1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5">
        <v>237</v>
      </c>
      <c r="I262" s="3"/>
      <c r="J262" s="5">
        <v>155.38</v>
      </c>
    </row>
    <row r="263" spans="1:10" ht="15" thickBot="1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5">
        <v>18</v>
      </c>
      <c r="I263" s="5">
        <v>426.33</v>
      </c>
      <c r="J263" s="5">
        <v>258.06</v>
      </c>
    </row>
    <row r="264" spans="1:10" ht="29.4" thickBot="1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5">
        <v>175</v>
      </c>
      <c r="I264" s="5">
        <v>337.36</v>
      </c>
      <c r="J264" s="5">
        <v>312.60000000000002</v>
      </c>
    </row>
    <row r="265" spans="1:10" ht="15" thickBot="1">
      <c r="A265" s="3" t="s">
        <v>292</v>
      </c>
      <c r="B265" s="3" t="s">
        <v>22</v>
      </c>
      <c r="C265" s="3" t="s">
        <v>18</v>
      </c>
      <c r="D265" s="3"/>
      <c r="E265" s="3" t="s">
        <v>14</v>
      </c>
      <c r="F265" s="3" t="s">
        <v>15</v>
      </c>
      <c r="G265" s="4">
        <v>45190</v>
      </c>
      <c r="H265" s="5">
        <v>441</v>
      </c>
      <c r="I265" s="5">
        <v>405.72</v>
      </c>
      <c r="J265" s="5">
        <v>88.45</v>
      </c>
    </row>
    <row r="266" spans="1:10" ht="15" thickBot="1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5">
        <v>453</v>
      </c>
      <c r="I266" s="5">
        <v>384.49</v>
      </c>
      <c r="J266" s="5">
        <v>56.85</v>
      </c>
    </row>
    <row r="267" spans="1:10" ht="15" thickBot="1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5">
        <v>328</v>
      </c>
      <c r="I267" s="5">
        <v>79.099999999999994</v>
      </c>
      <c r="J267" s="5">
        <v>265.89</v>
      </c>
    </row>
    <row r="268" spans="1:10" ht="29.4" thickBot="1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5">
        <v>223</v>
      </c>
      <c r="I268" s="5">
        <v>214.85</v>
      </c>
      <c r="J268" s="5">
        <v>2.75</v>
      </c>
    </row>
    <row r="269" spans="1:10" ht="29.4" thickBot="1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5">
        <v>126</v>
      </c>
      <c r="I269" s="5">
        <v>80.73</v>
      </c>
      <c r="J269" s="5">
        <v>72.989999999999995</v>
      </c>
    </row>
    <row r="270" spans="1:10" ht="15" thickBot="1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5">
        <v>395</v>
      </c>
      <c r="I270" s="5">
        <v>121.44</v>
      </c>
      <c r="J270" s="5">
        <v>13.57</v>
      </c>
    </row>
    <row r="271" spans="1:10" ht="15" thickBot="1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5">
        <v>353</v>
      </c>
      <c r="I271" s="5">
        <v>435.28</v>
      </c>
      <c r="J271" s="5">
        <v>68.42</v>
      </c>
    </row>
    <row r="272" spans="1:10" ht="15" thickBot="1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5">
        <v>81</v>
      </c>
      <c r="I272" s="5">
        <v>239.08</v>
      </c>
      <c r="J272" s="5">
        <v>74.17</v>
      </c>
    </row>
    <row r="273" spans="1:10" ht="15" thickBot="1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5">
        <v>404</v>
      </c>
      <c r="I273" s="5">
        <v>270</v>
      </c>
      <c r="J273" s="5">
        <v>156.29</v>
      </c>
    </row>
    <row r="274" spans="1:10" ht="15" thickBot="1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5">
        <v>73</v>
      </c>
      <c r="I274" s="5">
        <v>93.33</v>
      </c>
      <c r="J274" s="5">
        <v>162.13</v>
      </c>
    </row>
    <row r="275" spans="1:10" ht="29.4" thickBot="1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5">
        <v>214</v>
      </c>
      <c r="I275" s="5">
        <v>159.57</v>
      </c>
      <c r="J275" s="5">
        <v>349.96</v>
      </c>
    </row>
    <row r="276" spans="1:10" ht="29.4" thickBot="1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5">
        <v>218</v>
      </c>
      <c r="I276" s="5">
        <v>118.97</v>
      </c>
      <c r="J276" s="5">
        <v>205.02</v>
      </c>
    </row>
    <row r="277" spans="1:10" ht="29.4" thickBot="1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5">
        <v>81</v>
      </c>
      <c r="I277" s="5">
        <v>107.06</v>
      </c>
      <c r="J277" s="5">
        <v>289.92</v>
      </c>
    </row>
    <row r="278" spans="1:10" ht="29.4" thickBot="1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5">
        <v>286</v>
      </c>
      <c r="I278" s="5">
        <v>320.79000000000002</v>
      </c>
      <c r="J278" s="5">
        <v>43.45</v>
      </c>
    </row>
    <row r="279" spans="1:10" ht="29.4" thickBot="1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5">
        <v>283</v>
      </c>
      <c r="I279" s="5">
        <v>132.16</v>
      </c>
      <c r="J279" s="5">
        <v>91.72</v>
      </c>
    </row>
    <row r="280" spans="1:10" ht="29.4" thickBot="1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5">
        <v>487</v>
      </c>
      <c r="I280" s="5">
        <v>317.85000000000002</v>
      </c>
      <c r="J280" s="5">
        <v>281.77</v>
      </c>
    </row>
    <row r="281" spans="1:10" ht="15" thickBot="1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5">
        <v>329</v>
      </c>
      <c r="I281" s="5">
        <v>33.94</v>
      </c>
      <c r="J281" s="5">
        <v>23.02</v>
      </c>
    </row>
    <row r="282" spans="1:10" ht="15" thickBot="1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5">
        <v>347</v>
      </c>
      <c r="I282" s="5">
        <v>75.180000000000007</v>
      </c>
      <c r="J282" s="5">
        <v>195.67</v>
      </c>
    </row>
    <row r="283" spans="1:10" ht="29.4" thickBot="1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5">
        <v>375</v>
      </c>
      <c r="I283" s="5">
        <v>140.9</v>
      </c>
      <c r="J283" s="5">
        <v>240.55</v>
      </c>
    </row>
    <row r="284" spans="1:10" ht="15" thickBot="1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5">
        <v>104</v>
      </c>
      <c r="I284" s="5">
        <v>300.54000000000002</v>
      </c>
      <c r="J284" s="5">
        <v>241.65</v>
      </c>
    </row>
    <row r="285" spans="1:10" ht="15" thickBot="1">
      <c r="A285" s="3" t="s">
        <v>312</v>
      </c>
      <c r="B285" s="3" t="s">
        <v>11</v>
      </c>
      <c r="C285" s="3" t="s">
        <v>12</v>
      </c>
      <c r="D285" s="3"/>
      <c r="E285" s="3" t="s">
        <v>14</v>
      </c>
      <c r="F285" s="3" t="s">
        <v>15</v>
      </c>
      <c r="G285" s="4">
        <v>45210</v>
      </c>
      <c r="H285" s="5">
        <v>175</v>
      </c>
      <c r="I285" s="5">
        <v>339.54</v>
      </c>
      <c r="J285" s="5">
        <v>11.13</v>
      </c>
    </row>
    <row r="286" spans="1:10" ht="29.4" thickBot="1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5">
        <v>41</v>
      </c>
      <c r="I286" s="5">
        <v>224.14</v>
      </c>
      <c r="J286" s="5">
        <v>130.19999999999999</v>
      </c>
    </row>
    <row r="287" spans="1:10" ht="15" thickBot="1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5">
        <v>20</v>
      </c>
      <c r="I287" s="5">
        <v>225.67</v>
      </c>
      <c r="J287" s="5">
        <v>255.32</v>
      </c>
    </row>
    <row r="288" spans="1:10" ht="15" thickBot="1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5">
        <v>310</v>
      </c>
      <c r="I288" s="5">
        <v>363.64</v>
      </c>
      <c r="J288" s="5">
        <v>61.3</v>
      </c>
    </row>
    <row r="289" spans="1:10" ht="15" thickBot="1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5">
        <v>226</v>
      </c>
      <c r="I289" s="3"/>
      <c r="J289" s="5">
        <v>278.77999999999997</v>
      </c>
    </row>
    <row r="290" spans="1:10" ht="15" thickBot="1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/>
      <c r="I290" s="5">
        <v>173.84</v>
      </c>
      <c r="J290" s="5">
        <v>298.88</v>
      </c>
    </row>
    <row r="291" spans="1:10" ht="15" thickBot="1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5">
        <v>111</v>
      </c>
      <c r="I291" s="5">
        <v>410.26</v>
      </c>
      <c r="J291" s="5">
        <v>392.82</v>
      </c>
    </row>
    <row r="292" spans="1:10" ht="15" thickBot="1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5">
        <v>434</v>
      </c>
      <c r="I292" s="5">
        <v>303.58999999999997</v>
      </c>
      <c r="J292" s="5">
        <v>85.52</v>
      </c>
    </row>
    <row r="293" spans="1:10" ht="29.4" thickBot="1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5">
        <v>401</v>
      </c>
      <c r="I293" s="5">
        <v>171.93</v>
      </c>
      <c r="J293" s="5">
        <v>330.4</v>
      </c>
    </row>
    <row r="294" spans="1:10" ht="15" thickBot="1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5">
        <v>276</v>
      </c>
      <c r="I294" s="5">
        <v>453.23</v>
      </c>
      <c r="J294" s="5">
        <v>209.08</v>
      </c>
    </row>
    <row r="295" spans="1:10" ht="29.4" thickBot="1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/>
      <c r="I295" s="5">
        <v>387.45</v>
      </c>
      <c r="J295" s="5">
        <v>150.63999999999999</v>
      </c>
    </row>
    <row r="296" spans="1:10" ht="15" thickBot="1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5">
        <v>188</v>
      </c>
      <c r="I296" s="5">
        <v>136.12</v>
      </c>
      <c r="J296" s="5">
        <v>50.71</v>
      </c>
    </row>
    <row r="297" spans="1:10" ht="15" thickBot="1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5">
        <v>97</v>
      </c>
      <c r="I297" s="5">
        <v>324.42</v>
      </c>
      <c r="J297" s="5">
        <v>294.73</v>
      </c>
    </row>
    <row r="298" spans="1:10" ht="15" thickBot="1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5">
        <v>50</v>
      </c>
      <c r="I298" s="5">
        <v>299.89999999999998</v>
      </c>
      <c r="J298" s="5">
        <v>95.87</v>
      </c>
    </row>
    <row r="299" spans="1:10" ht="15" thickBot="1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5">
        <v>410</v>
      </c>
      <c r="I299" s="5">
        <v>203.59</v>
      </c>
      <c r="J299" s="5">
        <v>149.83000000000001</v>
      </c>
    </row>
    <row r="300" spans="1:10" ht="29.4" thickBot="1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5">
        <v>85</v>
      </c>
      <c r="I300" s="5">
        <v>186.64</v>
      </c>
      <c r="J300" s="5">
        <v>26.89</v>
      </c>
    </row>
    <row r="301" spans="1:10" ht="15" thickBot="1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5">
        <v>386</v>
      </c>
      <c r="I301" s="5">
        <v>175.06</v>
      </c>
      <c r="J301" s="5">
        <v>320.94</v>
      </c>
    </row>
    <row r="302" spans="1:10" ht="29.4" thickBot="1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5">
        <v>55</v>
      </c>
      <c r="I302" s="5">
        <v>310.49</v>
      </c>
      <c r="J302" s="5">
        <v>307.10000000000002</v>
      </c>
    </row>
    <row r="303" spans="1:10" ht="15" thickBot="1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5">
        <v>169</v>
      </c>
      <c r="I303" s="5">
        <v>223.99</v>
      </c>
      <c r="J303" s="5">
        <v>293.98</v>
      </c>
    </row>
    <row r="304" spans="1:10" ht="15" thickBot="1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5">
        <v>472</v>
      </c>
      <c r="I304" s="5">
        <v>416.77</v>
      </c>
      <c r="J304" s="5">
        <v>121.18</v>
      </c>
    </row>
    <row r="305" spans="1:10" ht="15" thickBot="1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5">
        <v>89</v>
      </c>
      <c r="I305" s="5">
        <v>336.45</v>
      </c>
      <c r="J305" s="5">
        <v>71.05</v>
      </c>
    </row>
    <row r="306" spans="1:10" ht="15" thickBot="1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5">
        <v>319</v>
      </c>
      <c r="I306" s="5">
        <v>39.619999999999997</v>
      </c>
      <c r="J306" s="5">
        <v>255.75</v>
      </c>
    </row>
    <row r="307" spans="1:10" ht="15" thickBot="1">
      <c r="A307" s="3" t="s">
        <v>334</v>
      </c>
      <c r="B307" s="3" t="s">
        <v>22</v>
      </c>
      <c r="C307" s="3" t="s">
        <v>12</v>
      </c>
      <c r="D307" s="3"/>
      <c r="E307" s="3" t="s">
        <v>14</v>
      </c>
      <c r="F307" s="3" t="s">
        <v>28</v>
      </c>
      <c r="G307" s="4">
        <v>45232</v>
      </c>
      <c r="H307" s="5">
        <v>95</v>
      </c>
      <c r="I307" s="5">
        <v>321.88</v>
      </c>
      <c r="J307" s="5">
        <v>199.47</v>
      </c>
    </row>
    <row r="308" spans="1:10" ht="15" thickBot="1">
      <c r="A308" s="3" t="s">
        <v>335</v>
      </c>
      <c r="B308" s="3" t="s">
        <v>17</v>
      </c>
      <c r="C308" s="3" t="s">
        <v>31</v>
      </c>
      <c r="D308" s="3"/>
      <c r="E308" s="3" t="s">
        <v>24</v>
      </c>
      <c r="F308" s="3" t="s">
        <v>15</v>
      </c>
      <c r="G308" s="4">
        <v>45233</v>
      </c>
      <c r="H308" s="5">
        <v>101</v>
      </c>
      <c r="I308" s="5">
        <v>139.22</v>
      </c>
      <c r="J308" s="5">
        <v>72.94</v>
      </c>
    </row>
    <row r="309" spans="1:10" ht="15" thickBot="1">
      <c r="A309" s="3" t="s">
        <v>336</v>
      </c>
      <c r="B309" s="3" t="s">
        <v>48</v>
      </c>
      <c r="C309" s="3" t="s">
        <v>50</v>
      </c>
      <c r="D309" s="3"/>
      <c r="E309" s="3" t="s">
        <v>14</v>
      </c>
      <c r="F309" s="3" t="s">
        <v>28</v>
      </c>
      <c r="G309" s="4">
        <v>45234</v>
      </c>
      <c r="H309" s="5">
        <v>157</v>
      </c>
      <c r="I309" s="3"/>
      <c r="J309" s="5">
        <v>274.99</v>
      </c>
    </row>
    <row r="310" spans="1:10" ht="15" thickBot="1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5">
        <v>170</v>
      </c>
      <c r="I310" s="5">
        <v>341.67</v>
      </c>
      <c r="J310" s="5">
        <v>396.47</v>
      </c>
    </row>
    <row r="311" spans="1:10" ht="29.4" thickBot="1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5">
        <v>211</v>
      </c>
      <c r="I311" s="5">
        <v>119.26</v>
      </c>
      <c r="J311" s="5">
        <v>299.39</v>
      </c>
    </row>
    <row r="312" spans="1:10" ht="15" thickBot="1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5">
        <v>433</v>
      </c>
      <c r="I312" s="5">
        <v>231.15</v>
      </c>
      <c r="J312" s="5">
        <v>296.51</v>
      </c>
    </row>
    <row r="313" spans="1:10" ht="29.4" thickBot="1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5">
        <v>425</v>
      </c>
      <c r="I313" s="5">
        <v>99.21</v>
      </c>
      <c r="J313" s="5">
        <v>380.22</v>
      </c>
    </row>
    <row r="314" spans="1:10" ht="15" thickBot="1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5">
        <v>251</v>
      </c>
      <c r="I314" s="5">
        <v>30.91</v>
      </c>
      <c r="J314" s="5">
        <v>82.77</v>
      </c>
    </row>
    <row r="315" spans="1:10" ht="15" thickBot="1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/>
      <c r="I315" s="5">
        <v>192.35</v>
      </c>
      <c r="J315" s="5">
        <v>227.09</v>
      </c>
    </row>
    <row r="316" spans="1:10" ht="29.4" thickBot="1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5">
        <v>11</v>
      </c>
      <c r="I316" s="5">
        <v>184.66</v>
      </c>
      <c r="J316" s="5">
        <v>391.9</v>
      </c>
    </row>
    <row r="317" spans="1:10" ht="15" thickBot="1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5">
        <v>234</v>
      </c>
      <c r="I317" s="5">
        <v>497.76</v>
      </c>
      <c r="J317" s="5">
        <v>67.790000000000006</v>
      </c>
    </row>
    <row r="318" spans="1:10" ht="15" thickBot="1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/>
      <c r="I318" s="5">
        <v>225.94</v>
      </c>
      <c r="J318" s="5">
        <v>280.7</v>
      </c>
    </row>
    <row r="319" spans="1:10" ht="29.4" thickBot="1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5">
        <v>242</v>
      </c>
      <c r="I319" s="5">
        <v>170.12</v>
      </c>
      <c r="J319" s="5">
        <v>235.15</v>
      </c>
    </row>
    <row r="320" spans="1:10" ht="15" thickBot="1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5">
        <v>470</v>
      </c>
      <c r="I320" s="5">
        <v>292.33999999999997</v>
      </c>
      <c r="J320" s="5">
        <v>235.42</v>
      </c>
    </row>
    <row r="321" spans="1:10" ht="15" thickBot="1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5">
        <v>423</v>
      </c>
      <c r="I321" s="5">
        <v>48.94</v>
      </c>
      <c r="J321" s="5">
        <v>279.67</v>
      </c>
    </row>
    <row r="322" spans="1:10" ht="29.4" thickBot="1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5">
        <v>426</v>
      </c>
      <c r="I322" s="5">
        <v>481.02</v>
      </c>
      <c r="J322" s="5">
        <v>371.99</v>
      </c>
    </row>
    <row r="323" spans="1:10" ht="15" thickBot="1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5">
        <v>86</v>
      </c>
      <c r="I323" s="5">
        <v>319.31</v>
      </c>
      <c r="J323" s="5">
        <v>313.47000000000003</v>
      </c>
    </row>
    <row r="324" spans="1:10" ht="15" thickBot="1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5">
        <v>125</v>
      </c>
      <c r="I324" s="5">
        <v>378.64</v>
      </c>
      <c r="J324" s="5">
        <v>24.34</v>
      </c>
    </row>
    <row r="325" spans="1:10" ht="15" thickBot="1">
      <c r="A325" s="3" t="s">
        <v>352</v>
      </c>
      <c r="B325" s="3" t="s">
        <v>48</v>
      </c>
      <c r="C325" s="3" t="s">
        <v>18</v>
      </c>
      <c r="D325" s="3"/>
      <c r="E325" s="3" t="s">
        <v>14</v>
      </c>
      <c r="F325" s="3" t="s">
        <v>15</v>
      </c>
      <c r="G325" s="4">
        <v>45250</v>
      </c>
      <c r="H325" s="5">
        <v>163</v>
      </c>
      <c r="I325" s="5">
        <v>89.39</v>
      </c>
      <c r="J325" s="5">
        <v>341.39</v>
      </c>
    </row>
    <row r="326" spans="1:10" ht="29.4" thickBot="1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5">
        <v>415</v>
      </c>
      <c r="I326" s="5">
        <v>207.69</v>
      </c>
      <c r="J326" s="5">
        <v>91.77</v>
      </c>
    </row>
    <row r="327" spans="1:10" ht="15" thickBot="1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5">
        <v>112</v>
      </c>
      <c r="I327" s="5">
        <v>214.23</v>
      </c>
      <c r="J327" s="5">
        <v>152.01</v>
      </c>
    </row>
    <row r="328" spans="1:10" ht="15" thickBot="1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5">
        <v>203</v>
      </c>
      <c r="I328" s="5">
        <v>411.79</v>
      </c>
      <c r="J328" s="5">
        <v>185.77</v>
      </c>
    </row>
    <row r="329" spans="1:10" ht="29.4" thickBot="1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/>
      <c r="I329" s="5">
        <v>5.61</v>
      </c>
      <c r="J329" s="5">
        <v>193.4</v>
      </c>
    </row>
    <row r="330" spans="1:10" ht="29.4" thickBot="1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5">
        <v>368</v>
      </c>
      <c r="I330" s="5">
        <v>153.91999999999999</v>
      </c>
      <c r="J330" s="5">
        <v>175.2</v>
      </c>
    </row>
    <row r="331" spans="1:10" ht="29.4" thickBot="1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5">
        <v>99</v>
      </c>
      <c r="I331" s="5">
        <v>490.71</v>
      </c>
      <c r="J331" s="5">
        <v>375.07</v>
      </c>
    </row>
    <row r="332" spans="1:10" ht="29.4" thickBot="1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5">
        <v>183</v>
      </c>
      <c r="I332" s="5">
        <v>240.07</v>
      </c>
      <c r="J332" s="5">
        <v>283</v>
      </c>
    </row>
    <row r="333" spans="1:10" ht="29.4" thickBot="1">
      <c r="A333" s="3" t="s">
        <v>360</v>
      </c>
      <c r="B333" s="3"/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5">
        <v>131</v>
      </c>
      <c r="I333" s="5">
        <v>194.35</v>
      </c>
      <c r="J333" s="5">
        <v>253.21</v>
      </c>
    </row>
    <row r="334" spans="1:10" ht="15" thickBot="1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5">
        <v>152</v>
      </c>
      <c r="I334" s="5">
        <v>64.319999999999993</v>
      </c>
      <c r="J334" s="5">
        <v>21.84</v>
      </c>
    </row>
    <row r="335" spans="1:10" ht="15" thickBot="1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5">
        <v>491</v>
      </c>
      <c r="I335" s="5">
        <v>487.21</v>
      </c>
      <c r="J335" s="5">
        <v>361.76</v>
      </c>
    </row>
    <row r="336" spans="1:10" ht="29.4" thickBot="1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5">
        <v>115</v>
      </c>
      <c r="I336" s="5">
        <v>14.91</v>
      </c>
      <c r="J336" s="5">
        <v>363.94</v>
      </c>
    </row>
    <row r="337" spans="1:10" ht="29.4" thickBot="1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5">
        <v>384</v>
      </c>
      <c r="I337" s="5">
        <v>369.9</v>
      </c>
      <c r="J337" s="5">
        <v>312.52</v>
      </c>
    </row>
    <row r="338" spans="1:10" ht="15" thickBot="1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5">
        <v>437</v>
      </c>
      <c r="I338" s="5">
        <v>385.46</v>
      </c>
      <c r="J338" s="5">
        <v>4.8</v>
      </c>
    </row>
    <row r="339" spans="1:10" ht="15" thickBot="1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5">
        <v>314</v>
      </c>
      <c r="I339" s="5">
        <v>125.61</v>
      </c>
      <c r="J339" s="5">
        <v>24.8</v>
      </c>
    </row>
    <row r="340" spans="1:10" ht="15" thickBot="1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5">
        <v>369</v>
      </c>
      <c r="I340" s="5">
        <v>337.42</v>
      </c>
      <c r="J340" s="5">
        <v>91.64</v>
      </c>
    </row>
    <row r="341" spans="1:10" ht="29.4" thickBot="1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5">
        <v>468</v>
      </c>
      <c r="I341" s="5">
        <v>51</v>
      </c>
      <c r="J341" s="5">
        <v>54.28</v>
      </c>
    </row>
    <row r="342" spans="1:10" ht="15" thickBot="1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5">
        <v>326</v>
      </c>
      <c r="I342" s="5">
        <v>132.24</v>
      </c>
      <c r="J342" s="5">
        <v>160.74</v>
      </c>
    </row>
    <row r="343" spans="1:10" ht="29.4" thickBot="1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5">
        <v>460</v>
      </c>
      <c r="I343" s="5">
        <v>395.01</v>
      </c>
      <c r="J343" s="5">
        <v>369.2</v>
      </c>
    </row>
    <row r="344" spans="1:10" ht="15" thickBot="1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5">
        <v>132</v>
      </c>
      <c r="I344" s="5">
        <v>433.02</v>
      </c>
      <c r="J344" s="5">
        <v>189.88</v>
      </c>
    </row>
    <row r="345" spans="1:10" ht="15" thickBot="1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5">
        <v>399</v>
      </c>
      <c r="I345" s="5">
        <v>306.2</v>
      </c>
      <c r="J345" s="5">
        <v>7.33</v>
      </c>
    </row>
    <row r="346" spans="1:10" ht="15" thickBot="1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5">
        <v>18</v>
      </c>
      <c r="I346" s="5">
        <v>255.89</v>
      </c>
      <c r="J346" s="5">
        <v>114.53</v>
      </c>
    </row>
    <row r="347" spans="1:10" ht="15" thickBot="1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5">
        <v>271</v>
      </c>
      <c r="I347" s="5">
        <v>83.86</v>
      </c>
      <c r="J347" s="5">
        <v>19.75</v>
      </c>
    </row>
    <row r="348" spans="1:10" ht="29.4" thickBot="1">
      <c r="A348" s="3" t="s">
        <v>375</v>
      </c>
      <c r="B348" s="3"/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5">
        <v>82</v>
      </c>
      <c r="I348" s="5">
        <v>36.24</v>
      </c>
      <c r="J348" s="5">
        <v>16.440000000000001</v>
      </c>
    </row>
    <row r="349" spans="1:10" ht="15" thickBot="1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5">
        <v>368</v>
      </c>
      <c r="I349" s="5">
        <v>63.24</v>
      </c>
      <c r="J349" s="5">
        <v>111.74</v>
      </c>
    </row>
    <row r="350" spans="1:10" ht="29.4" thickBot="1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5">
        <v>232</v>
      </c>
      <c r="I350" s="5">
        <v>117.54</v>
      </c>
      <c r="J350" s="5">
        <v>111.69</v>
      </c>
    </row>
    <row r="351" spans="1:10" ht="15" thickBot="1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B3A0-35ED-49BA-8212-965F954EB854}">
  <dimension ref="A1:K351"/>
  <sheetViews>
    <sheetView topLeftCell="A334" workbookViewId="0">
      <selection sqref="A1:J351"/>
    </sheetView>
  </sheetViews>
  <sheetFormatPr defaultRowHeight="14.4"/>
  <cols>
    <col min="7" max="7" width="15.44140625" bestFit="1" customWidth="1"/>
  </cols>
  <sheetData>
    <row r="1" spans="1:11" ht="43.8" thickBot="1">
      <c r="A1" s="1" t="s">
        <v>379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380</v>
      </c>
    </row>
    <row r="2" spans="1:11" ht="29.4" thickBo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5">
        <v>235</v>
      </c>
      <c r="I2" s="5">
        <v>152.91999999999999</v>
      </c>
      <c r="J2" s="5">
        <v>153.6</v>
      </c>
    </row>
    <row r="3" spans="1:11" ht="15" thickBot="1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5">
        <v>341</v>
      </c>
      <c r="I3" s="5">
        <v>467.92</v>
      </c>
      <c r="J3" s="5">
        <v>139.84</v>
      </c>
      <c r="K3">
        <f>COUNTBLANK(A1:J351)</f>
        <v>40</v>
      </c>
    </row>
    <row r="4" spans="1:11" ht="15" thickBot="1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5">
        <v>179</v>
      </c>
      <c r="I4" s="5">
        <v>473.94</v>
      </c>
      <c r="J4" s="5">
        <v>97.14</v>
      </c>
    </row>
    <row r="5" spans="1:11" ht="15" thickBot="1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5">
        <v>18</v>
      </c>
      <c r="I5" s="5">
        <v>314.52999999999997</v>
      </c>
      <c r="J5" s="5">
        <v>204.87</v>
      </c>
    </row>
    <row r="6" spans="1:11" ht="15" thickBot="1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5">
        <v>472</v>
      </c>
      <c r="I6" s="5">
        <v>392.79</v>
      </c>
      <c r="J6" s="5">
        <v>330.46</v>
      </c>
    </row>
    <row r="7" spans="1:11" ht="15" thickBot="1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5">
        <v>49</v>
      </c>
      <c r="I7" s="5">
        <v>308.07</v>
      </c>
      <c r="J7" s="5">
        <v>113.32</v>
      </c>
    </row>
    <row r="8" spans="1:11" ht="15" thickBot="1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5">
        <v>34</v>
      </c>
      <c r="I8" s="5">
        <v>244.78</v>
      </c>
      <c r="J8" s="5">
        <v>377.07</v>
      </c>
    </row>
    <row r="9" spans="1:11" ht="29.4" thickBot="1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5">
        <v>270</v>
      </c>
      <c r="I9" s="5">
        <v>332.11</v>
      </c>
      <c r="J9" s="5">
        <v>349.59</v>
      </c>
    </row>
    <row r="10" spans="1:11" ht="29.4" thickBot="1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5">
        <v>404</v>
      </c>
      <c r="I10" s="5">
        <v>278.74</v>
      </c>
      <c r="J10" s="5">
        <v>66.38</v>
      </c>
    </row>
    <row r="11" spans="1:11" ht="15" thickBot="1">
      <c r="A11" s="3" t="s">
        <v>35</v>
      </c>
      <c r="B11" s="3"/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5">
        <v>452</v>
      </c>
      <c r="I11" s="5">
        <v>300.75</v>
      </c>
      <c r="J11" s="5">
        <v>314.94</v>
      </c>
    </row>
    <row r="12" spans="1:11" ht="15" thickBot="1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5">
        <v>235</v>
      </c>
      <c r="I12" s="5">
        <v>393</v>
      </c>
      <c r="J12" s="5">
        <v>230.69</v>
      </c>
    </row>
    <row r="13" spans="1:11" ht="15" thickBot="1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5">
        <v>481</v>
      </c>
      <c r="I13" s="5">
        <v>243.05</v>
      </c>
      <c r="J13" s="5">
        <v>227.5</v>
      </c>
    </row>
    <row r="14" spans="1:11" ht="15" thickBot="1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5">
        <v>133</v>
      </c>
      <c r="I14" s="5">
        <v>25.17</v>
      </c>
      <c r="J14" s="5">
        <v>157.63999999999999</v>
      </c>
    </row>
    <row r="15" spans="1:11" ht="15" thickBot="1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5">
        <v>472</v>
      </c>
      <c r="I15" s="5">
        <v>86.18</v>
      </c>
      <c r="J15" s="5">
        <v>201.46</v>
      </c>
    </row>
    <row r="16" spans="1:11" ht="29.4" thickBot="1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5">
        <v>47</v>
      </c>
      <c r="I16" s="5">
        <v>222.11</v>
      </c>
      <c r="J16" s="5">
        <v>160.08000000000001</v>
      </c>
    </row>
    <row r="17" spans="1:10" ht="29.4" thickBot="1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5">
        <v>337</v>
      </c>
      <c r="I17" s="5">
        <v>363.79</v>
      </c>
      <c r="J17" s="5">
        <v>216.81</v>
      </c>
    </row>
    <row r="18" spans="1:10" ht="29.4" thickBot="1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5">
        <v>260</v>
      </c>
      <c r="I18" s="5">
        <v>298.67</v>
      </c>
      <c r="J18" s="5">
        <v>251.92</v>
      </c>
    </row>
    <row r="19" spans="1:10" ht="15" thickBot="1">
      <c r="A19" s="3" t="s">
        <v>44</v>
      </c>
      <c r="B19" s="3"/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5">
        <v>398</v>
      </c>
      <c r="I19" s="5">
        <v>326.89999999999998</v>
      </c>
      <c r="J19" s="5">
        <v>270.37</v>
      </c>
    </row>
    <row r="20" spans="1:10" ht="29.4" thickBot="1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5">
        <v>185</v>
      </c>
      <c r="I20" s="5">
        <v>242.24</v>
      </c>
      <c r="J20" s="5">
        <v>213.93</v>
      </c>
    </row>
    <row r="21" spans="1:10" ht="15" thickBot="1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5">
        <v>99</v>
      </c>
      <c r="I21" s="5">
        <v>309.79000000000002</v>
      </c>
      <c r="J21" s="5">
        <v>289.13</v>
      </c>
    </row>
    <row r="22" spans="1:10" ht="29.4" thickBot="1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5">
        <v>411</v>
      </c>
      <c r="I22" s="5">
        <v>167.86</v>
      </c>
      <c r="J22" s="5">
        <v>58.23</v>
      </c>
    </row>
    <row r="23" spans="1:10" ht="15" thickBot="1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5">
        <v>463</v>
      </c>
      <c r="I23" s="5">
        <v>237.74</v>
      </c>
      <c r="J23" s="5">
        <v>86.37</v>
      </c>
    </row>
    <row r="24" spans="1:10" ht="29.4" thickBot="1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5">
        <v>46</v>
      </c>
      <c r="I24" s="5">
        <v>373.42</v>
      </c>
      <c r="J24" s="5">
        <v>327.86</v>
      </c>
    </row>
    <row r="25" spans="1:10" ht="29.4" thickBot="1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5">
        <v>325</v>
      </c>
      <c r="I25" s="5">
        <v>436.56</v>
      </c>
      <c r="J25" s="5">
        <v>130.37</v>
      </c>
    </row>
    <row r="26" spans="1:10" ht="15" thickBot="1">
      <c r="A26" s="3" t="s">
        <v>53</v>
      </c>
      <c r="B26" s="3" t="s">
        <v>17</v>
      </c>
      <c r="C26" s="3" t="s">
        <v>18</v>
      </c>
      <c r="D26" s="3"/>
      <c r="E26" s="3" t="s">
        <v>24</v>
      </c>
      <c r="F26" s="3" t="s">
        <v>28</v>
      </c>
      <c r="G26" s="4">
        <v>44951</v>
      </c>
      <c r="H26" s="5">
        <v>185</v>
      </c>
      <c r="I26" s="5">
        <v>219.66</v>
      </c>
      <c r="J26" s="5">
        <v>11.11</v>
      </c>
    </row>
    <row r="27" spans="1:10" ht="29.4" thickBot="1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5">
        <v>470</v>
      </c>
      <c r="I27" s="5">
        <v>26.61</v>
      </c>
      <c r="J27" s="5">
        <v>63.21</v>
      </c>
    </row>
    <row r="28" spans="1:10" ht="15" thickBot="1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5">
        <v>293</v>
      </c>
      <c r="I28" s="5">
        <v>85.03</v>
      </c>
      <c r="J28" s="5">
        <v>91</v>
      </c>
    </row>
    <row r="29" spans="1:10" ht="15" thickBot="1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5">
        <v>462</v>
      </c>
      <c r="I29" s="3"/>
      <c r="J29" s="5">
        <v>383.01</v>
      </c>
    </row>
    <row r="30" spans="1:10" ht="29.4" thickBot="1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5">
        <v>470</v>
      </c>
      <c r="I30" s="5">
        <v>328.37</v>
      </c>
      <c r="J30" s="5">
        <v>230.07</v>
      </c>
    </row>
    <row r="31" spans="1:10" ht="29.4" thickBot="1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5">
        <v>90</v>
      </c>
      <c r="I31" s="5">
        <v>169.5</v>
      </c>
      <c r="J31" s="5">
        <v>373.23</v>
      </c>
    </row>
    <row r="32" spans="1:10" ht="29.4" thickBot="1">
      <c r="A32" s="3" t="s">
        <v>59</v>
      </c>
      <c r="B32" s="3"/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5">
        <v>123</v>
      </c>
      <c r="I32" s="5">
        <v>273.52999999999997</v>
      </c>
      <c r="J32" s="5">
        <v>230.92</v>
      </c>
    </row>
    <row r="33" spans="1:10" ht="29.4" thickBot="1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5">
        <v>49</v>
      </c>
      <c r="I33" s="5">
        <v>249.17</v>
      </c>
      <c r="J33" s="5">
        <v>192.78</v>
      </c>
    </row>
    <row r="34" spans="1:10" ht="29.4" thickBot="1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5">
        <v>310</v>
      </c>
      <c r="I34" s="5">
        <v>45.36</v>
      </c>
      <c r="J34" s="5">
        <v>126.86</v>
      </c>
    </row>
    <row r="35" spans="1:10" ht="15" thickBot="1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5">
        <v>233</v>
      </c>
      <c r="I35" s="5">
        <v>204.61</v>
      </c>
      <c r="J35" s="5">
        <v>243.34</v>
      </c>
    </row>
    <row r="36" spans="1:10" ht="15" thickBot="1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5">
        <v>327</v>
      </c>
      <c r="I36" s="5">
        <v>114.18</v>
      </c>
      <c r="J36" s="5">
        <v>57.4</v>
      </c>
    </row>
    <row r="37" spans="1:10" ht="29.4" thickBot="1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5">
        <v>358</v>
      </c>
      <c r="I37" s="5">
        <v>212.11</v>
      </c>
      <c r="J37" s="5">
        <v>359.51</v>
      </c>
    </row>
    <row r="38" spans="1:10" ht="15" thickBot="1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5">
        <v>124</v>
      </c>
      <c r="I38" s="3"/>
      <c r="J38" s="5">
        <v>332.07</v>
      </c>
    </row>
    <row r="39" spans="1:10" ht="15" thickBot="1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5">
        <v>195</v>
      </c>
      <c r="I39" s="5">
        <v>421.02</v>
      </c>
      <c r="J39" s="5">
        <v>128.38</v>
      </c>
    </row>
    <row r="40" spans="1:10" ht="15" thickBot="1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/>
      <c r="I40" s="5">
        <v>91.23</v>
      </c>
      <c r="J40" s="5">
        <v>381.21</v>
      </c>
    </row>
    <row r="41" spans="1:10" ht="15" thickBot="1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5">
        <v>65</v>
      </c>
      <c r="I41" s="5">
        <v>480.59</v>
      </c>
      <c r="J41" s="5">
        <v>330.43</v>
      </c>
    </row>
    <row r="42" spans="1:10" ht="29.4" thickBot="1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5">
        <v>49</v>
      </c>
      <c r="I42" s="5">
        <v>210.87</v>
      </c>
      <c r="J42" s="5">
        <v>267.19</v>
      </c>
    </row>
    <row r="43" spans="1:10" ht="15" thickBot="1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5">
        <v>363</v>
      </c>
      <c r="I43" s="5">
        <v>423.89</v>
      </c>
      <c r="J43" s="5">
        <v>50.46</v>
      </c>
    </row>
    <row r="44" spans="1:10" ht="29.4" thickBot="1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5">
        <v>49</v>
      </c>
      <c r="I44" s="5">
        <v>316.24</v>
      </c>
      <c r="J44" s="5">
        <v>192.34</v>
      </c>
    </row>
    <row r="45" spans="1:10" ht="29.4" thickBot="1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5">
        <v>356</v>
      </c>
      <c r="I45" s="5">
        <v>369</v>
      </c>
      <c r="J45" s="5">
        <v>203.43</v>
      </c>
    </row>
    <row r="46" spans="1:10" ht="29.4" thickBot="1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5">
        <v>470</v>
      </c>
      <c r="I46" s="3"/>
      <c r="J46" s="5">
        <v>94.56</v>
      </c>
    </row>
    <row r="47" spans="1:10" ht="29.4" thickBot="1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5">
        <v>246</v>
      </c>
      <c r="I47" s="5">
        <v>254.9</v>
      </c>
      <c r="J47" s="5">
        <v>33.83</v>
      </c>
    </row>
    <row r="48" spans="1:10" ht="15" thickBot="1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5">
        <v>298</v>
      </c>
      <c r="I48" s="5">
        <v>273.93</v>
      </c>
      <c r="J48" s="5">
        <v>311.14</v>
      </c>
    </row>
    <row r="49" spans="1:10" ht="29.4" thickBot="1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5">
        <v>271</v>
      </c>
      <c r="I49" s="5">
        <v>259.43</v>
      </c>
      <c r="J49" s="5">
        <v>50.57</v>
      </c>
    </row>
    <row r="50" spans="1:10" ht="15" thickBot="1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5">
        <v>225</v>
      </c>
      <c r="I50" s="5">
        <v>296.08999999999997</v>
      </c>
      <c r="J50" s="5">
        <v>238.53</v>
      </c>
    </row>
    <row r="51" spans="1:10" ht="15" thickBot="1">
      <c r="A51" s="3" t="s">
        <v>78</v>
      </c>
      <c r="B51" s="3"/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5">
        <v>156</v>
      </c>
      <c r="I51" s="5">
        <v>19.55</v>
      </c>
      <c r="J51" s="5">
        <v>374.71</v>
      </c>
    </row>
    <row r="52" spans="1:10" ht="15" thickBot="1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5">
        <v>345</v>
      </c>
      <c r="I52" s="5">
        <v>200.78</v>
      </c>
      <c r="J52" s="5">
        <v>350.69</v>
      </c>
    </row>
    <row r="53" spans="1:10" ht="15" thickBot="1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5">
        <v>177</v>
      </c>
      <c r="I53" s="5">
        <v>305.06</v>
      </c>
      <c r="J53" s="5">
        <v>112.55</v>
      </c>
    </row>
    <row r="54" spans="1:10" ht="15" thickBot="1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5">
        <v>101</v>
      </c>
      <c r="I54" s="5">
        <v>300.87</v>
      </c>
      <c r="J54" s="5">
        <v>340.88</v>
      </c>
    </row>
    <row r="55" spans="1:10" ht="29.4" thickBot="1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5">
        <v>362</v>
      </c>
      <c r="I55" s="5">
        <v>397.51</v>
      </c>
      <c r="J55" s="5">
        <v>2.13</v>
      </c>
    </row>
    <row r="56" spans="1:10" ht="15" thickBot="1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5">
        <v>68</v>
      </c>
      <c r="I56" s="5">
        <v>329.23</v>
      </c>
      <c r="J56" s="5">
        <v>9.0399999999999991</v>
      </c>
    </row>
    <row r="57" spans="1:10" ht="15" thickBot="1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5">
        <v>68</v>
      </c>
      <c r="I57" s="5">
        <v>496.11</v>
      </c>
      <c r="J57" s="5">
        <v>241.82</v>
      </c>
    </row>
    <row r="58" spans="1:10" ht="15" thickBot="1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5">
        <v>313</v>
      </c>
      <c r="I58" s="5">
        <v>145.51</v>
      </c>
      <c r="J58" s="5">
        <v>147.19</v>
      </c>
    </row>
    <row r="59" spans="1:10" ht="15" thickBot="1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5">
        <v>178</v>
      </c>
      <c r="I59" s="5">
        <v>182.78</v>
      </c>
      <c r="J59" s="5">
        <v>155.81</v>
      </c>
    </row>
    <row r="60" spans="1:10" ht="15" thickBot="1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5">
        <v>278</v>
      </c>
      <c r="I60" s="5">
        <v>195</v>
      </c>
      <c r="J60" s="5">
        <v>226.65</v>
      </c>
    </row>
    <row r="61" spans="1:10" ht="15" thickBot="1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5">
        <v>372</v>
      </c>
      <c r="I61" s="5">
        <v>235.58</v>
      </c>
      <c r="J61" s="5">
        <v>78.33</v>
      </c>
    </row>
    <row r="62" spans="1:10" ht="15" thickBot="1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5">
        <v>54</v>
      </c>
      <c r="I62" s="5">
        <v>418.82</v>
      </c>
      <c r="J62" s="5">
        <v>86.28</v>
      </c>
    </row>
    <row r="63" spans="1:10" ht="15" thickBot="1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5">
        <v>354</v>
      </c>
      <c r="I63" s="5">
        <v>121.72</v>
      </c>
      <c r="J63" s="5">
        <v>194.87</v>
      </c>
    </row>
    <row r="64" spans="1:10" ht="15" thickBot="1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5">
        <v>190</v>
      </c>
      <c r="I64" s="5">
        <v>389.12</v>
      </c>
      <c r="J64" s="5">
        <v>302.19</v>
      </c>
    </row>
    <row r="65" spans="1:10" ht="29.4" thickBot="1">
      <c r="A65" s="3" t="s">
        <v>92</v>
      </c>
      <c r="B65" s="3"/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5">
        <v>179</v>
      </c>
      <c r="I65" s="5">
        <v>205.63</v>
      </c>
      <c r="J65" s="5">
        <v>248.56</v>
      </c>
    </row>
    <row r="66" spans="1:10" ht="29.4" thickBot="1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5">
        <v>365</v>
      </c>
      <c r="I66" s="5">
        <v>302.92</v>
      </c>
      <c r="J66" s="5">
        <v>120.35</v>
      </c>
    </row>
    <row r="67" spans="1:10" ht="15" thickBot="1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5">
        <v>200</v>
      </c>
      <c r="I67" s="5">
        <v>318.11</v>
      </c>
      <c r="J67" s="5">
        <v>173.27</v>
      </c>
    </row>
    <row r="68" spans="1:10" ht="15" thickBot="1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5">
        <v>164</v>
      </c>
      <c r="I68" s="5">
        <v>189.56</v>
      </c>
      <c r="J68" s="5">
        <v>69.92</v>
      </c>
    </row>
    <row r="69" spans="1:10" ht="29.4" thickBot="1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5">
        <v>431</v>
      </c>
      <c r="I69" s="5">
        <v>258.74</v>
      </c>
      <c r="J69" s="5">
        <v>31.7</v>
      </c>
    </row>
    <row r="70" spans="1:10" ht="29.4" thickBot="1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5">
        <v>197</v>
      </c>
      <c r="I70" s="5">
        <v>209.45</v>
      </c>
      <c r="J70" s="5">
        <v>313.51</v>
      </c>
    </row>
    <row r="71" spans="1:10" ht="29.4" thickBot="1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5">
        <v>16</v>
      </c>
      <c r="I71" s="5">
        <v>39.22</v>
      </c>
      <c r="J71" s="5">
        <v>107.62</v>
      </c>
    </row>
    <row r="72" spans="1:10" ht="29.4" thickBot="1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5">
        <v>142</v>
      </c>
      <c r="I72" s="5">
        <v>221.4</v>
      </c>
      <c r="J72" s="5">
        <v>72.75</v>
      </c>
    </row>
    <row r="73" spans="1:10" ht="15" thickBot="1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5">
        <v>244</v>
      </c>
      <c r="I73" s="5">
        <v>53.21</v>
      </c>
      <c r="J73" s="5">
        <v>277.26</v>
      </c>
    </row>
    <row r="74" spans="1:10" ht="29.4" thickBot="1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5">
        <v>54</v>
      </c>
      <c r="I74" s="5">
        <v>205.49</v>
      </c>
      <c r="J74" s="5">
        <v>247.98</v>
      </c>
    </row>
    <row r="75" spans="1:10" ht="15" thickBot="1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5">
        <v>323</v>
      </c>
      <c r="I75" s="5">
        <v>298.49</v>
      </c>
      <c r="J75" s="5">
        <v>254.01</v>
      </c>
    </row>
    <row r="76" spans="1:10" ht="29.4" thickBot="1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5">
        <v>258</v>
      </c>
      <c r="I76" s="5">
        <v>291.81</v>
      </c>
      <c r="J76" s="5">
        <v>93.1</v>
      </c>
    </row>
    <row r="77" spans="1:10" ht="29.4" thickBot="1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5">
        <v>40</v>
      </c>
      <c r="I77" s="5">
        <v>333</v>
      </c>
      <c r="J77" s="5">
        <v>94.59</v>
      </c>
    </row>
    <row r="78" spans="1:10" ht="15" thickBot="1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5">
        <v>32</v>
      </c>
      <c r="I78" s="5">
        <v>52.15</v>
      </c>
      <c r="J78" s="5">
        <v>89.88</v>
      </c>
    </row>
    <row r="79" spans="1:10" ht="29.4" thickBot="1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5">
        <v>435</v>
      </c>
      <c r="I79" s="5">
        <v>327.8</v>
      </c>
      <c r="J79" s="5">
        <v>71.150000000000006</v>
      </c>
    </row>
    <row r="80" spans="1:10" ht="15" thickBot="1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5">
        <v>403</v>
      </c>
      <c r="I80" s="5">
        <v>159.51</v>
      </c>
      <c r="J80" s="5">
        <v>262.98</v>
      </c>
    </row>
    <row r="81" spans="1:10" ht="15" thickBot="1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5">
        <v>169</v>
      </c>
      <c r="I81" s="3"/>
      <c r="J81" s="5">
        <v>339.51</v>
      </c>
    </row>
    <row r="82" spans="1:10" ht="29.4" thickBot="1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5">
        <v>372</v>
      </c>
      <c r="I82" s="5">
        <v>429.7</v>
      </c>
      <c r="J82" s="5">
        <v>290.27999999999997</v>
      </c>
    </row>
    <row r="83" spans="1:10" ht="29.4" thickBot="1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5">
        <v>446</v>
      </c>
      <c r="I83" s="5">
        <v>9.4700000000000006</v>
      </c>
      <c r="J83" s="5">
        <v>317.25</v>
      </c>
    </row>
    <row r="84" spans="1:10" ht="15" thickBot="1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5">
        <v>167</v>
      </c>
      <c r="I84" s="5">
        <v>296.26</v>
      </c>
      <c r="J84" s="5">
        <v>163.11000000000001</v>
      </c>
    </row>
    <row r="85" spans="1:10" ht="15" thickBot="1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5">
        <v>48</v>
      </c>
      <c r="I85" s="5">
        <v>301.36</v>
      </c>
      <c r="J85" s="5">
        <v>262.32</v>
      </c>
    </row>
    <row r="86" spans="1:10" ht="15" thickBot="1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5">
        <v>424</v>
      </c>
      <c r="I86" s="5">
        <v>201.35</v>
      </c>
      <c r="J86" s="5">
        <v>142.99</v>
      </c>
    </row>
    <row r="87" spans="1:10" ht="15" thickBot="1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5">
        <v>91</v>
      </c>
      <c r="I87" s="5">
        <v>122.33</v>
      </c>
      <c r="J87" s="5">
        <v>211.15</v>
      </c>
    </row>
    <row r="88" spans="1:10" ht="29.4" thickBot="1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5">
        <v>365</v>
      </c>
      <c r="I88" s="5">
        <v>121.16</v>
      </c>
      <c r="J88" s="5">
        <v>193.69</v>
      </c>
    </row>
    <row r="89" spans="1:10" ht="29.4" thickBot="1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5">
        <v>267</v>
      </c>
      <c r="I89" s="5">
        <v>442.44</v>
      </c>
      <c r="J89" s="5">
        <v>72.400000000000006</v>
      </c>
    </row>
    <row r="90" spans="1:10" ht="29.4" thickBot="1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5">
        <v>215</v>
      </c>
      <c r="I90" s="5">
        <v>223.8</v>
      </c>
      <c r="J90" s="5">
        <v>156.06</v>
      </c>
    </row>
    <row r="91" spans="1:10" ht="29.4" thickBot="1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5">
        <v>86</v>
      </c>
      <c r="I91" s="5">
        <v>168.79</v>
      </c>
      <c r="J91" s="5">
        <v>385.6</v>
      </c>
    </row>
    <row r="92" spans="1:10" ht="15" thickBot="1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5">
        <v>486</v>
      </c>
      <c r="I92" s="5">
        <v>227.14</v>
      </c>
      <c r="J92" s="5">
        <v>100.93</v>
      </c>
    </row>
    <row r="93" spans="1:10" ht="29.4" thickBot="1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5">
        <v>21</v>
      </c>
      <c r="I93" s="3"/>
      <c r="J93" s="5">
        <v>55.25</v>
      </c>
    </row>
    <row r="94" spans="1:10" ht="15" thickBot="1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5">
        <v>304</v>
      </c>
      <c r="I94" s="5">
        <v>77.150000000000006</v>
      </c>
      <c r="J94" s="5">
        <v>168.6</v>
      </c>
    </row>
    <row r="95" spans="1:10" ht="29.4" thickBot="1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5">
        <v>459</v>
      </c>
      <c r="I95" s="5">
        <v>227.47</v>
      </c>
      <c r="J95" s="5">
        <v>316.55</v>
      </c>
    </row>
    <row r="96" spans="1:10" ht="15" thickBot="1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5">
        <v>233</v>
      </c>
      <c r="I96" s="5">
        <v>296</v>
      </c>
      <c r="J96" s="5">
        <v>233.69</v>
      </c>
    </row>
    <row r="97" spans="1:10" ht="29.4" thickBot="1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5">
        <v>22</v>
      </c>
      <c r="I97" s="5">
        <v>474.55</v>
      </c>
      <c r="J97" s="5">
        <v>273.02999999999997</v>
      </c>
    </row>
    <row r="98" spans="1:10" ht="15" thickBot="1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5">
        <v>55</v>
      </c>
      <c r="I98" s="5">
        <v>130</v>
      </c>
      <c r="J98" s="5">
        <v>77.5</v>
      </c>
    </row>
    <row r="99" spans="1:10" ht="15" thickBot="1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5">
        <v>164</v>
      </c>
      <c r="I99" s="5">
        <v>182.83</v>
      </c>
      <c r="J99" s="5">
        <v>248.34</v>
      </c>
    </row>
    <row r="100" spans="1:10" ht="29.4" thickBot="1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5">
        <v>122</v>
      </c>
      <c r="I100" s="5">
        <v>192.78</v>
      </c>
      <c r="J100" s="5">
        <v>130.75</v>
      </c>
    </row>
    <row r="101" spans="1:10" ht="29.4" thickBot="1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5">
        <v>242</v>
      </c>
      <c r="I101" s="5">
        <v>304.74</v>
      </c>
      <c r="J101" s="5">
        <v>334.05</v>
      </c>
    </row>
    <row r="102" spans="1:10" ht="29.4" thickBot="1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5">
        <v>26</v>
      </c>
      <c r="I102" s="5">
        <v>181.58</v>
      </c>
      <c r="J102" s="5">
        <v>252.46</v>
      </c>
    </row>
    <row r="103" spans="1:10" ht="15" thickBot="1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5">
        <v>369</v>
      </c>
      <c r="I103" s="5">
        <v>269.08999999999997</v>
      </c>
      <c r="J103" s="5">
        <v>81.14</v>
      </c>
    </row>
    <row r="104" spans="1:10" ht="29.4" thickBot="1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5">
        <v>232</v>
      </c>
      <c r="I104" s="5">
        <v>391.99</v>
      </c>
      <c r="J104" s="5">
        <v>27.72</v>
      </c>
    </row>
    <row r="105" spans="1:10" ht="15" thickBot="1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5">
        <v>363</v>
      </c>
      <c r="I105" s="5">
        <v>354.17</v>
      </c>
      <c r="J105" s="5">
        <v>18.97</v>
      </c>
    </row>
    <row r="106" spans="1:10" ht="29.4" thickBot="1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5">
        <v>197</v>
      </c>
      <c r="I106" s="5">
        <v>225.95</v>
      </c>
      <c r="J106" s="5">
        <v>149.82</v>
      </c>
    </row>
    <row r="107" spans="1:10" ht="29.4" thickBot="1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5">
        <v>457</v>
      </c>
      <c r="I107" s="5">
        <v>432.79</v>
      </c>
      <c r="J107" s="5">
        <v>107.81</v>
      </c>
    </row>
    <row r="108" spans="1:10" ht="15" thickBot="1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5">
        <v>353</v>
      </c>
      <c r="I108" s="5">
        <v>281.27999999999997</v>
      </c>
      <c r="J108" s="5">
        <v>259.14</v>
      </c>
    </row>
    <row r="109" spans="1:10" ht="29.4" thickBot="1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5">
        <v>374</v>
      </c>
      <c r="I109" s="5">
        <v>272.25</v>
      </c>
      <c r="J109" s="5">
        <v>200.73</v>
      </c>
    </row>
    <row r="110" spans="1:10" ht="29.4" thickBot="1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5">
        <v>172</v>
      </c>
      <c r="I110" s="5">
        <v>21.92</v>
      </c>
      <c r="J110" s="5">
        <v>107.88</v>
      </c>
    </row>
    <row r="111" spans="1:10" ht="29.4" thickBot="1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5">
        <v>335</v>
      </c>
      <c r="I111" s="5">
        <v>493.41</v>
      </c>
      <c r="J111" s="5">
        <v>61.4</v>
      </c>
    </row>
    <row r="112" spans="1:10" ht="15" thickBot="1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5">
        <v>476</v>
      </c>
      <c r="I112" s="5">
        <v>65.87</v>
      </c>
      <c r="J112" s="5">
        <v>52.63</v>
      </c>
    </row>
    <row r="113" spans="1:10" ht="29.4" thickBot="1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5">
        <v>423</v>
      </c>
      <c r="I113" s="5">
        <v>119.41</v>
      </c>
      <c r="J113" s="5">
        <v>346.13</v>
      </c>
    </row>
    <row r="114" spans="1:10" ht="29.4" thickBot="1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5">
        <v>464</v>
      </c>
      <c r="I114" s="5">
        <v>30.59</v>
      </c>
      <c r="J114" s="5">
        <v>98.9</v>
      </c>
    </row>
    <row r="115" spans="1:10" ht="29.4" thickBot="1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5">
        <v>83</v>
      </c>
      <c r="I115" s="5">
        <v>321.8</v>
      </c>
      <c r="J115" s="5">
        <v>261.38</v>
      </c>
    </row>
    <row r="116" spans="1:10" ht="29.4" thickBot="1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5">
        <v>242</v>
      </c>
      <c r="I116" s="5">
        <v>116.23</v>
      </c>
      <c r="J116" s="5">
        <v>324.64999999999998</v>
      </c>
    </row>
    <row r="117" spans="1:10" ht="15" thickBot="1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5">
        <v>233</v>
      </c>
      <c r="I117" s="5">
        <v>94.11</v>
      </c>
      <c r="J117" s="5">
        <v>246.4</v>
      </c>
    </row>
    <row r="118" spans="1:10" ht="15" thickBot="1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5">
        <v>491</v>
      </c>
      <c r="I118" s="5">
        <v>48.84</v>
      </c>
      <c r="J118" s="5">
        <v>344.11</v>
      </c>
    </row>
    <row r="119" spans="1:10" ht="15" thickBot="1">
      <c r="A119" s="3" t="s">
        <v>146</v>
      </c>
      <c r="B119" s="3"/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5">
        <v>328</v>
      </c>
      <c r="I119" s="5">
        <v>56.14</v>
      </c>
      <c r="J119" s="5">
        <v>158.16999999999999</v>
      </c>
    </row>
    <row r="120" spans="1:10" ht="29.4" thickBot="1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5">
        <v>421</v>
      </c>
      <c r="I120" s="5">
        <v>294.41000000000003</v>
      </c>
      <c r="J120" s="5">
        <v>382.58</v>
      </c>
    </row>
    <row r="121" spans="1:10" ht="29.4" thickBot="1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5">
        <v>69</v>
      </c>
      <c r="I121" s="5">
        <v>345.66</v>
      </c>
      <c r="J121" s="5">
        <v>54.99</v>
      </c>
    </row>
    <row r="122" spans="1:10" ht="29.4" thickBot="1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5">
        <v>344</v>
      </c>
      <c r="I122" s="5">
        <v>201.7</v>
      </c>
      <c r="J122" s="5">
        <v>42.66</v>
      </c>
    </row>
    <row r="123" spans="1:10" ht="29.4" thickBot="1">
      <c r="A123" s="3" t="s">
        <v>150</v>
      </c>
      <c r="B123" s="3"/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5">
        <v>231</v>
      </c>
      <c r="I123" s="5">
        <v>242.55</v>
      </c>
      <c r="J123" s="5">
        <v>264.16000000000003</v>
      </c>
    </row>
    <row r="124" spans="1:10" ht="15" thickBot="1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5">
        <v>46</v>
      </c>
      <c r="I124" s="5">
        <v>344.55</v>
      </c>
      <c r="J124" s="5">
        <v>377.25</v>
      </c>
    </row>
    <row r="125" spans="1:10" ht="29.4" thickBot="1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5">
        <v>486</v>
      </c>
      <c r="I125" s="5">
        <v>13.6</v>
      </c>
      <c r="J125" s="5">
        <v>323.94</v>
      </c>
    </row>
    <row r="126" spans="1:10" ht="29.4" thickBot="1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5">
        <v>287</v>
      </c>
      <c r="I126" s="5">
        <v>164.95</v>
      </c>
      <c r="J126" s="5">
        <v>32.409999999999997</v>
      </c>
    </row>
    <row r="127" spans="1:10" ht="15" thickBot="1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5">
        <v>205</v>
      </c>
      <c r="I127" s="5">
        <v>486.68</v>
      </c>
      <c r="J127" s="5">
        <v>113.19</v>
      </c>
    </row>
    <row r="128" spans="1:10" ht="29.4" thickBot="1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5">
        <v>413</v>
      </c>
      <c r="I128" s="5">
        <v>292.16000000000003</v>
      </c>
      <c r="J128" s="5">
        <v>372.27</v>
      </c>
    </row>
    <row r="129" spans="1:10" ht="29.4" thickBot="1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5">
        <v>361</v>
      </c>
      <c r="I129" s="5">
        <v>130.84</v>
      </c>
      <c r="J129" s="5">
        <v>102.72</v>
      </c>
    </row>
    <row r="130" spans="1:10" ht="15" thickBot="1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5">
        <v>493</v>
      </c>
      <c r="I130" s="5">
        <v>263.26</v>
      </c>
      <c r="J130" s="5">
        <v>312.91000000000003</v>
      </c>
    </row>
    <row r="131" spans="1:10" ht="15" thickBot="1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5">
        <v>251</v>
      </c>
      <c r="I131" s="5">
        <v>174.61</v>
      </c>
      <c r="J131" s="5">
        <v>330.4</v>
      </c>
    </row>
    <row r="132" spans="1:10" ht="15" thickBot="1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/>
      <c r="I132" s="5">
        <v>268.45999999999998</v>
      </c>
      <c r="J132" s="5">
        <v>199.19</v>
      </c>
    </row>
    <row r="133" spans="1:10" ht="15" thickBot="1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5">
        <v>228</v>
      </c>
      <c r="I133" s="5">
        <v>67.239999999999995</v>
      </c>
      <c r="J133" s="5">
        <v>155.77000000000001</v>
      </c>
    </row>
    <row r="134" spans="1:10" ht="15" thickBot="1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5">
        <v>201</v>
      </c>
      <c r="I134" s="5">
        <v>70.69</v>
      </c>
      <c r="J134" s="5">
        <v>181.15</v>
      </c>
    </row>
    <row r="135" spans="1:10" ht="15" thickBot="1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5">
        <v>26</v>
      </c>
      <c r="I135" s="5">
        <v>76.05</v>
      </c>
      <c r="J135" s="5">
        <v>92.33</v>
      </c>
    </row>
    <row r="136" spans="1:10" ht="15" thickBot="1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5">
        <v>21</v>
      </c>
      <c r="I136" s="5">
        <v>470.21</v>
      </c>
      <c r="J136" s="5">
        <v>355.98</v>
      </c>
    </row>
    <row r="137" spans="1:10" ht="15" thickBot="1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5">
        <v>415</v>
      </c>
      <c r="I137" s="5">
        <v>367.78</v>
      </c>
      <c r="J137" s="5">
        <v>181.35</v>
      </c>
    </row>
    <row r="138" spans="1:10" ht="15" thickBot="1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5">
        <v>410</v>
      </c>
      <c r="I138" s="5">
        <v>85.38</v>
      </c>
      <c r="J138" s="5">
        <v>353.22</v>
      </c>
    </row>
    <row r="139" spans="1:10" ht="29.4" thickBot="1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5">
        <v>403</v>
      </c>
      <c r="I139" s="5">
        <v>98.23</v>
      </c>
      <c r="J139" s="5">
        <v>44.07</v>
      </c>
    </row>
    <row r="140" spans="1:10" ht="15" thickBot="1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5">
        <v>383</v>
      </c>
      <c r="I140" s="5">
        <v>366.76</v>
      </c>
      <c r="J140" s="5">
        <v>395.33</v>
      </c>
    </row>
    <row r="141" spans="1:10" ht="29.4" thickBot="1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5">
        <v>202</v>
      </c>
      <c r="I141" s="5">
        <v>82.3</v>
      </c>
      <c r="J141" s="5">
        <v>178.42</v>
      </c>
    </row>
    <row r="142" spans="1:10" ht="15" thickBot="1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5">
        <v>31</v>
      </c>
      <c r="I142" s="5">
        <v>121.11</v>
      </c>
      <c r="J142" s="5">
        <v>21.04</v>
      </c>
    </row>
    <row r="143" spans="1:10" ht="29.4" thickBot="1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5">
        <v>483</v>
      </c>
      <c r="I143" s="5">
        <v>481.86</v>
      </c>
      <c r="J143" s="5">
        <v>17.13</v>
      </c>
    </row>
    <row r="144" spans="1:10" ht="29.4" thickBot="1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5">
        <v>129</v>
      </c>
      <c r="I144" s="5">
        <v>131.38</v>
      </c>
      <c r="J144" s="5">
        <v>298.99</v>
      </c>
    </row>
    <row r="145" spans="1:10" ht="29.4" thickBot="1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5">
        <v>219</v>
      </c>
      <c r="I145" s="5">
        <v>332.51</v>
      </c>
      <c r="J145" s="5">
        <v>264.3</v>
      </c>
    </row>
    <row r="146" spans="1:10" ht="29.4" thickBot="1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5">
        <v>315</v>
      </c>
      <c r="I146" s="5">
        <v>489.42</v>
      </c>
      <c r="J146" s="5">
        <v>321.25</v>
      </c>
    </row>
    <row r="147" spans="1:10" ht="15" thickBot="1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5">
        <v>279</v>
      </c>
      <c r="I147" s="5">
        <v>190.28</v>
      </c>
      <c r="J147" s="5">
        <v>43.94</v>
      </c>
    </row>
    <row r="148" spans="1:10" ht="15" thickBot="1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5">
        <v>201</v>
      </c>
      <c r="I148" s="5">
        <v>13.67</v>
      </c>
      <c r="J148" s="5">
        <v>16.16</v>
      </c>
    </row>
    <row r="149" spans="1:10" ht="15" thickBot="1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5">
        <v>184</v>
      </c>
      <c r="I149" s="5">
        <v>125.85</v>
      </c>
      <c r="J149" s="5">
        <v>204.41</v>
      </c>
    </row>
    <row r="150" spans="1:10" ht="15" thickBot="1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5">
        <v>294</v>
      </c>
      <c r="I150" s="5">
        <v>416.28</v>
      </c>
      <c r="J150" s="5">
        <v>156.26</v>
      </c>
    </row>
    <row r="151" spans="1:10" ht="15" thickBot="1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5">
        <v>213</v>
      </c>
      <c r="I151" s="5">
        <v>432.98</v>
      </c>
      <c r="J151" s="5">
        <v>185.85</v>
      </c>
    </row>
    <row r="152" spans="1:10" ht="15" thickBot="1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5">
        <v>173</v>
      </c>
      <c r="I152" s="5">
        <v>385.42</v>
      </c>
      <c r="J152" s="5">
        <v>396.65</v>
      </c>
    </row>
    <row r="153" spans="1:10" ht="15" thickBot="1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5">
        <v>260</v>
      </c>
      <c r="I153" s="5">
        <v>60.99</v>
      </c>
      <c r="J153" s="5">
        <v>388.36</v>
      </c>
    </row>
    <row r="154" spans="1:10" ht="15" thickBot="1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5">
        <v>236</v>
      </c>
      <c r="I154" s="5">
        <v>398.78</v>
      </c>
      <c r="J154" s="5">
        <v>377.04</v>
      </c>
    </row>
    <row r="155" spans="1:10" ht="15" thickBot="1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5">
        <v>445</v>
      </c>
      <c r="I155" s="5">
        <v>459.75</v>
      </c>
      <c r="J155" s="5">
        <v>313.97000000000003</v>
      </c>
    </row>
    <row r="156" spans="1:10" ht="15" thickBot="1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5">
        <v>390</v>
      </c>
      <c r="I156" s="5">
        <v>302.3</v>
      </c>
      <c r="J156" s="5">
        <v>143.22999999999999</v>
      </c>
    </row>
    <row r="157" spans="1:10" ht="15" thickBot="1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5">
        <v>469</v>
      </c>
      <c r="I157" s="5">
        <v>470.73</v>
      </c>
      <c r="J157" s="5">
        <v>166.03</v>
      </c>
    </row>
    <row r="158" spans="1:10" ht="15" thickBot="1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5">
        <v>16</v>
      </c>
      <c r="I158" s="3"/>
      <c r="J158" s="5">
        <v>220.75</v>
      </c>
    </row>
    <row r="159" spans="1:10" ht="29.4" thickBot="1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5">
        <v>38</v>
      </c>
      <c r="I159" s="5">
        <v>335.15</v>
      </c>
      <c r="J159" s="5">
        <v>332.55</v>
      </c>
    </row>
    <row r="160" spans="1:10" ht="15" thickBot="1">
      <c r="A160" s="3" t="s">
        <v>187</v>
      </c>
      <c r="B160" s="3" t="s">
        <v>22</v>
      </c>
      <c r="C160" s="3" t="s">
        <v>31</v>
      </c>
      <c r="D160" s="3"/>
      <c r="E160" s="3" t="s">
        <v>24</v>
      </c>
      <c r="F160" s="3" t="s">
        <v>28</v>
      </c>
      <c r="G160" s="4">
        <v>45085</v>
      </c>
      <c r="H160" s="5">
        <v>404</v>
      </c>
      <c r="I160" s="5">
        <v>290.70999999999998</v>
      </c>
      <c r="J160" s="5">
        <v>29.35</v>
      </c>
    </row>
    <row r="161" spans="1:10" ht="15" thickBot="1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5">
        <v>42</v>
      </c>
      <c r="I161" s="5">
        <v>177.54</v>
      </c>
      <c r="J161" s="5">
        <v>170.87</v>
      </c>
    </row>
    <row r="162" spans="1:10" ht="15" thickBot="1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5">
        <v>143</v>
      </c>
      <c r="I162" s="5">
        <v>83.85</v>
      </c>
      <c r="J162" s="5">
        <v>34.880000000000003</v>
      </c>
    </row>
    <row r="163" spans="1:10" ht="15" thickBot="1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5">
        <v>376</v>
      </c>
      <c r="I163" s="5">
        <v>304.45</v>
      </c>
      <c r="J163" s="5">
        <v>206.83</v>
      </c>
    </row>
    <row r="164" spans="1:10" ht="29.4" thickBot="1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5">
        <v>88</v>
      </c>
      <c r="I164" s="5">
        <v>162.47</v>
      </c>
      <c r="J164" s="5">
        <v>359.76</v>
      </c>
    </row>
    <row r="165" spans="1:10" ht="29.4" thickBot="1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5">
        <v>425</v>
      </c>
      <c r="I165" s="5">
        <v>433.89</v>
      </c>
      <c r="J165" s="5">
        <v>313.43</v>
      </c>
    </row>
    <row r="166" spans="1:10" ht="29.4" thickBot="1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5">
        <v>444</v>
      </c>
      <c r="I166" s="5">
        <v>496.7</v>
      </c>
      <c r="J166" s="5">
        <v>92.68</v>
      </c>
    </row>
    <row r="167" spans="1:10" ht="15" thickBot="1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5">
        <v>468</v>
      </c>
      <c r="I167" s="5">
        <v>377.45</v>
      </c>
      <c r="J167" s="5">
        <v>390.44</v>
      </c>
    </row>
    <row r="168" spans="1:10" ht="15" thickBot="1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5">
        <v>67</v>
      </c>
      <c r="I168" s="5">
        <v>49.79</v>
      </c>
      <c r="J168" s="5">
        <v>267.61</v>
      </c>
    </row>
    <row r="169" spans="1:10" ht="29.4" thickBot="1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5">
        <v>480</v>
      </c>
      <c r="I169" s="5">
        <v>147.9</v>
      </c>
      <c r="J169" s="5">
        <v>6.15</v>
      </c>
    </row>
    <row r="170" spans="1:10" ht="15" thickBot="1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5">
        <v>35</v>
      </c>
      <c r="I170" s="5">
        <v>59.01</v>
      </c>
      <c r="J170" s="5">
        <v>103.65</v>
      </c>
    </row>
    <row r="171" spans="1:10" ht="29.4" thickBot="1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5">
        <v>491</v>
      </c>
      <c r="I171" s="5">
        <v>327</v>
      </c>
      <c r="J171" s="5">
        <v>105.76</v>
      </c>
    </row>
    <row r="172" spans="1:10" ht="15" thickBot="1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5">
        <v>439</v>
      </c>
      <c r="I172" s="5">
        <v>383.77</v>
      </c>
      <c r="J172" s="5">
        <v>29.56</v>
      </c>
    </row>
    <row r="173" spans="1:10" ht="15" thickBot="1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5">
        <v>235</v>
      </c>
      <c r="I173" s="5">
        <v>463.21</v>
      </c>
      <c r="J173" s="5">
        <v>384.01</v>
      </c>
    </row>
    <row r="174" spans="1:10" ht="29.4" thickBot="1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5">
        <v>294</v>
      </c>
      <c r="I174" s="5">
        <v>221.9</v>
      </c>
      <c r="J174" s="5">
        <v>192.35</v>
      </c>
    </row>
    <row r="175" spans="1:10" ht="15" thickBot="1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5">
        <v>13</v>
      </c>
      <c r="I175" s="5">
        <v>451.18</v>
      </c>
      <c r="J175" s="5">
        <v>358.53</v>
      </c>
    </row>
    <row r="176" spans="1:10" ht="29.4" thickBot="1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5">
        <v>474</v>
      </c>
      <c r="I176" s="5">
        <v>439.56</v>
      </c>
      <c r="J176" s="5">
        <v>130.24</v>
      </c>
    </row>
    <row r="177" spans="1:10" ht="15" thickBot="1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5">
        <v>108</v>
      </c>
      <c r="I177" s="5">
        <v>162.01</v>
      </c>
      <c r="J177" s="5">
        <v>51.84</v>
      </c>
    </row>
    <row r="178" spans="1:10" ht="29.4" thickBot="1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5">
        <v>406</v>
      </c>
      <c r="I178" s="5">
        <v>435.11</v>
      </c>
      <c r="J178" s="5">
        <v>190.79</v>
      </c>
    </row>
    <row r="179" spans="1:10" ht="15" thickBot="1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5">
        <v>498</v>
      </c>
      <c r="I179" s="5">
        <v>190.96</v>
      </c>
      <c r="J179" s="5">
        <v>47.35</v>
      </c>
    </row>
    <row r="180" spans="1:10" ht="15" thickBot="1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5">
        <v>48</v>
      </c>
      <c r="I180" s="5">
        <v>151.94999999999999</v>
      </c>
      <c r="J180" s="5">
        <v>195.43</v>
      </c>
    </row>
    <row r="181" spans="1:10" ht="15" thickBot="1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5">
        <v>280</v>
      </c>
      <c r="I181" s="5">
        <v>326.29000000000002</v>
      </c>
      <c r="J181" s="5">
        <v>368.28</v>
      </c>
    </row>
    <row r="182" spans="1:10" ht="15" thickBot="1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5">
        <v>384</v>
      </c>
      <c r="I182" s="5">
        <v>167.55</v>
      </c>
      <c r="J182" s="5">
        <v>209.27</v>
      </c>
    </row>
    <row r="183" spans="1:10" ht="29.4" thickBot="1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5">
        <v>294</v>
      </c>
      <c r="I183" s="5">
        <v>316.95</v>
      </c>
      <c r="J183" s="5">
        <v>247.37</v>
      </c>
    </row>
    <row r="184" spans="1:10" ht="15" thickBot="1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5">
        <v>166</v>
      </c>
      <c r="I184" s="5">
        <v>306.87</v>
      </c>
      <c r="J184" s="5">
        <v>64.34</v>
      </c>
    </row>
    <row r="185" spans="1:10" ht="15" thickBot="1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5">
        <v>84</v>
      </c>
      <c r="I185" s="5">
        <v>283.89999999999998</v>
      </c>
      <c r="J185" s="5">
        <v>19.41</v>
      </c>
    </row>
    <row r="186" spans="1:10" ht="15" thickBot="1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5">
        <v>381</v>
      </c>
      <c r="I186" s="5">
        <v>193.31</v>
      </c>
      <c r="J186" s="5">
        <v>46.1</v>
      </c>
    </row>
    <row r="187" spans="1:10" ht="29.4" thickBot="1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5">
        <v>297</v>
      </c>
      <c r="I187" s="5">
        <v>276.51</v>
      </c>
      <c r="J187" s="5">
        <v>240.22</v>
      </c>
    </row>
    <row r="188" spans="1:10" ht="15" thickBot="1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5">
        <v>139</v>
      </c>
      <c r="I188" s="5">
        <v>300.26</v>
      </c>
      <c r="J188" s="5">
        <v>39.81</v>
      </c>
    </row>
    <row r="189" spans="1:10" ht="15" thickBot="1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5">
        <v>184</v>
      </c>
      <c r="I189" s="5">
        <v>275.12</v>
      </c>
      <c r="J189" s="5">
        <v>151.65</v>
      </c>
    </row>
    <row r="190" spans="1:10" ht="15" thickBot="1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5">
        <v>471</v>
      </c>
      <c r="I190" s="5">
        <v>224.99</v>
      </c>
      <c r="J190" s="5">
        <v>220.94</v>
      </c>
    </row>
    <row r="191" spans="1:10" ht="29.4" thickBot="1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5">
        <v>93</v>
      </c>
      <c r="I191" s="5">
        <v>12.26</v>
      </c>
      <c r="J191" s="5">
        <v>156.68</v>
      </c>
    </row>
    <row r="192" spans="1:10" ht="15" thickBot="1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5">
        <v>31</v>
      </c>
      <c r="I192" s="5">
        <v>295.60000000000002</v>
      </c>
      <c r="J192" s="5">
        <v>67.150000000000006</v>
      </c>
    </row>
    <row r="193" spans="1:10" ht="29.4" thickBot="1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5">
        <v>468</v>
      </c>
      <c r="I193" s="5">
        <v>88.38</v>
      </c>
      <c r="J193" s="5">
        <v>110.97</v>
      </c>
    </row>
    <row r="194" spans="1:10" ht="15" thickBot="1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5">
        <v>36</v>
      </c>
      <c r="I194" s="5">
        <v>323.08</v>
      </c>
      <c r="J194" s="5">
        <v>371.47</v>
      </c>
    </row>
    <row r="195" spans="1:10" ht="15" thickBot="1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5">
        <v>204</v>
      </c>
      <c r="I195" s="5">
        <v>380.88</v>
      </c>
      <c r="J195" s="5">
        <v>271.04000000000002</v>
      </c>
    </row>
    <row r="196" spans="1:10" ht="15" thickBot="1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5">
        <v>346</v>
      </c>
      <c r="I196" s="5">
        <v>252.72</v>
      </c>
      <c r="J196" s="5">
        <v>199.43</v>
      </c>
    </row>
    <row r="197" spans="1:10" ht="29.4" thickBot="1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5">
        <v>391</v>
      </c>
      <c r="I197" s="5">
        <v>273.47000000000003</v>
      </c>
      <c r="J197" s="5">
        <v>7.06</v>
      </c>
    </row>
    <row r="198" spans="1:10" ht="29.4" thickBot="1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5">
        <v>245</v>
      </c>
      <c r="I198" s="5">
        <v>475.98</v>
      </c>
      <c r="J198" s="5">
        <v>396.98</v>
      </c>
    </row>
    <row r="199" spans="1:10" ht="15" thickBot="1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5">
        <v>449</v>
      </c>
      <c r="I199" s="5">
        <v>424.35</v>
      </c>
      <c r="J199" s="5">
        <v>269.24</v>
      </c>
    </row>
    <row r="200" spans="1:10" ht="15" thickBot="1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5">
        <v>101</v>
      </c>
      <c r="I200" s="5">
        <v>457.55</v>
      </c>
      <c r="J200" s="5">
        <v>128.13999999999999</v>
      </c>
    </row>
    <row r="201" spans="1:10" ht="15" thickBot="1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/>
      <c r="I201" s="5">
        <v>407.81</v>
      </c>
      <c r="J201" s="5">
        <v>351.95</v>
      </c>
    </row>
    <row r="202" spans="1:10" ht="29.4" thickBot="1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5">
        <v>30</v>
      </c>
      <c r="I202" s="5">
        <v>58.91</v>
      </c>
      <c r="J202" s="5">
        <v>104.86</v>
      </c>
    </row>
    <row r="203" spans="1:10" ht="29.4" thickBot="1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5">
        <v>312</v>
      </c>
      <c r="I203" s="5">
        <v>78.75</v>
      </c>
      <c r="J203" s="5">
        <v>218.52</v>
      </c>
    </row>
    <row r="204" spans="1:10" ht="29.4" thickBot="1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5">
        <v>473</v>
      </c>
      <c r="I204" s="5">
        <v>265.68</v>
      </c>
      <c r="J204" s="5">
        <v>255.16</v>
      </c>
    </row>
    <row r="205" spans="1:10" ht="29.4" thickBot="1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5">
        <v>366</v>
      </c>
      <c r="I205" s="5">
        <v>126.8</v>
      </c>
      <c r="J205" s="5">
        <v>89.98</v>
      </c>
    </row>
    <row r="206" spans="1:10" ht="29.4" thickBot="1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5">
        <v>452</v>
      </c>
      <c r="I206" s="5">
        <v>240.96</v>
      </c>
      <c r="J206" s="5">
        <v>391.4</v>
      </c>
    </row>
    <row r="207" spans="1:10" ht="15" thickBot="1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5">
        <v>93</v>
      </c>
      <c r="I207" s="5">
        <v>200.21</v>
      </c>
      <c r="J207" s="5">
        <v>299.77999999999997</v>
      </c>
    </row>
    <row r="208" spans="1:10" ht="15" thickBot="1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5">
        <v>271</v>
      </c>
      <c r="I208" s="5">
        <v>276.95999999999998</v>
      </c>
      <c r="J208" s="5">
        <v>224.01</v>
      </c>
    </row>
    <row r="209" spans="1:10" ht="15" thickBot="1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5">
        <v>156</v>
      </c>
      <c r="I209" s="5">
        <v>374.7</v>
      </c>
      <c r="J209" s="5">
        <v>73.88</v>
      </c>
    </row>
    <row r="210" spans="1:10" ht="29.4" thickBot="1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5">
        <v>450</v>
      </c>
      <c r="I210" s="5">
        <v>359.17</v>
      </c>
      <c r="J210" s="5">
        <v>23.44</v>
      </c>
    </row>
    <row r="211" spans="1:10" ht="15" thickBot="1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5">
        <v>462</v>
      </c>
      <c r="I211" s="5">
        <v>263.01</v>
      </c>
      <c r="J211" s="5">
        <v>129.38</v>
      </c>
    </row>
    <row r="212" spans="1:10" ht="15" thickBot="1">
      <c r="A212" s="3" t="s">
        <v>239</v>
      </c>
      <c r="B212" s="3" t="s">
        <v>11</v>
      </c>
      <c r="C212" s="3" t="s">
        <v>50</v>
      </c>
      <c r="D212" s="3"/>
      <c r="E212" s="3" t="s">
        <v>14</v>
      </c>
      <c r="F212" s="3" t="s">
        <v>28</v>
      </c>
      <c r="G212" s="4">
        <v>45137</v>
      </c>
      <c r="H212" s="5">
        <v>396</v>
      </c>
      <c r="I212" s="5">
        <v>412.08</v>
      </c>
      <c r="J212" s="5">
        <v>301.77</v>
      </c>
    </row>
    <row r="213" spans="1:10" ht="15" thickBot="1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5">
        <v>266</v>
      </c>
      <c r="I213" s="5">
        <v>218.28</v>
      </c>
      <c r="J213" s="5">
        <v>109.19</v>
      </c>
    </row>
    <row r="214" spans="1:10" ht="29.4" thickBot="1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5">
        <v>67</v>
      </c>
      <c r="I214" s="5">
        <v>448.87</v>
      </c>
      <c r="J214" s="5">
        <v>216.74</v>
      </c>
    </row>
    <row r="215" spans="1:10" ht="15" thickBot="1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5">
        <v>389</v>
      </c>
      <c r="I215" s="5">
        <v>40.28</v>
      </c>
      <c r="J215" s="5">
        <v>291.72000000000003</v>
      </c>
    </row>
    <row r="216" spans="1:10" ht="29.4" thickBot="1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5">
        <v>431</v>
      </c>
      <c r="I216" s="5">
        <v>477.56</v>
      </c>
      <c r="J216" s="5">
        <v>44.96</v>
      </c>
    </row>
    <row r="217" spans="1:10" ht="29.4" thickBot="1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5">
        <v>24</v>
      </c>
      <c r="I217" s="5">
        <v>329.07</v>
      </c>
      <c r="J217" s="5">
        <v>274.75</v>
      </c>
    </row>
    <row r="218" spans="1:10" ht="15" thickBot="1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5">
        <v>171</v>
      </c>
      <c r="I218" s="5">
        <v>193.14</v>
      </c>
      <c r="J218" s="5">
        <v>38.56</v>
      </c>
    </row>
    <row r="219" spans="1:10" ht="29.4" thickBot="1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5">
        <v>454</v>
      </c>
      <c r="I219" s="5">
        <v>102.59</v>
      </c>
      <c r="J219" s="5">
        <v>386.12</v>
      </c>
    </row>
    <row r="220" spans="1:10" ht="29.4" thickBot="1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5">
        <v>172</v>
      </c>
      <c r="I220" s="5">
        <v>242.2</v>
      </c>
      <c r="J220" s="5">
        <v>196.38</v>
      </c>
    </row>
    <row r="221" spans="1:10" ht="15" thickBot="1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5">
        <v>329</v>
      </c>
      <c r="I221" s="5">
        <v>101.31</v>
      </c>
      <c r="J221" s="5">
        <v>61.97</v>
      </c>
    </row>
    <row r="222" spans="1:10" ht="15" thickBot="1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5">
        <v>290</v>
      </c>
      <c r="I222" s="5">
        <v>87.33</v>
      </c>
      <c r="J222" s="5">
        <v>138.27000000000001</v>
      </c>
    </row>
    <row r="223" spans="1:10" ht="29.4" thickBot="1">
      <c r="A223" s="3" t="s">
        <v>250</v>
      </c>
      <c r="B223" s="3"/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5">
        <v>289</v>
      </c>
      <c r="I223" s="5">
        <v>310.58999999999997</v>
      </c>
      <c r="J223" s="5">
        <v>166.54</v>
      </c>
    </row>
    <row r="224" spans="1:10" ht="29.4" thickBot="1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5">
        <v>21</v>
      </c>
      <c r="I224" s="5">
        <v>263.93</v>
      </c>
      <c r="J224" s="5">
        <v>303.76</v>
      </c>
    </row>
    <row r="225" spans="1:10" ht="15" thickBot="1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5">
        <v>283</v>
      </c>
      <c r="I225" s="5">
        <v>336.7</v>
      </c>
      <c r="J225" s="5">
        <v>297.88</v>
      </c>
    </row>
    <row r="226" spans="1:10" ht="29.4" thickBot="1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5">
        <v>280</v>
      </c>
      <c r="I226" s="5">
        <v>465.15</v>
      </c>
      <c r="J226" s="5">
        <v>245.55</v>
      </c>
    </row>
    <row r="227" spans="1:10" ht="15" thickBot="1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5">
        <v>217</v>
      </c>
      <c r="I227" s="5">
        <v>268.47000000000003</v>
      </c>
      <c r="J227" s="5">
        <v>44.16</v>
      </c>
    </row>
    <row r="228" spans="1:10" ht="15" thickBot="1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5">
        <v>36</v>
      </c>
      <c r="I228" s="5">
        <v>292.56</v>
      </c>
      <c r="J228" s="5">
        <v>62.32</v>
      </c>
    </row>
    <row r="229" spans="1:10" ht="15" thickBot="1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/>
      <c r="I229" s="5">
        <v>49.37</v>
      </c>
      <c r="J229" s="5">
        <v>39.32</v>
      </c>
    </row>
    <row r="230" spans="1:10" ht="15" thickBot="1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5">
        <v>69</v>
      </c>
      <c r="I230" s="5">
        <v>360.23</v>
      </c>
      <c r="J230" s="5">
        <v>231.71</v>
      </c>
    </row>
    <row r="231" spans="1:10" ht="29.4" thickBot="1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5">
        <v>439</v>
      </c>
      <c r="I231" s="5">
        <v>202.95</v>
      </c>
      <c r="J231" s="5">
        <v>351.1</v>
      </c>
    </row>
    <row r="232" spans="1:10" ht="15" thickBot="1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5">
        <v>482</v>
      </c>
      <c r="I232" s="5">
        <v>488.48</v>
      </c>
      <c r="J232" s="5">
        <v>174.65</v>
      </c>
    </row>
    <row r="233" spans="1:10" ht="15" thickBot="1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5">
        <v>154</v>
      </c>
      <c r="I233" s="5">
        <v>412.47</v>
      </c>
      <c r="J233" s="5">
        <v>66.02</v>
      </c>
    </row>
    <row r="234" spans="1:10" ht="15" thickBot="1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5">
        <v>102</v>
      </c>
      <c r="I234" s="5">
        <v>263.63</v>
      </c>
      <c r="J234" s="5">
        <v>224.1</v>
      </c>
    </row>
    <row r="235" spans="1:10" ht="15" thickBot="1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5">
        <v>318</v>
      </c>
      <c r="I235" s="5">
        <v>66</v>
      </c>
      <c r="J235" s="5">
        <v>325.08</v>
      </c>
    </row>
    <row r="236" spans="1:10" ht="15" thickBot="1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5">
        <v>17</v>
      </c>
      <c r="I236" s="5">
        <v>430.41</v>
      </c>
      <c r="J236" s="5">
        <v>297.2</v>
      </c>
    </row>
    <row r="237" spans="1:10" ht="15" thickBot="1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5">
        <v>88</v>
      </c>
      <c r="I237" s="5">
        <v>400.89</v>
      </c>
      <c r="J237" s="5">
        <v>352.82</v>
      </c>
    </row>
    <row r="238" spans="1:10" ht="29.4" thickBot="1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5">
        <v>36</v>
      </c>
      <c r="I238" s="5">
        <v>96.37</v>
      </c>
      <c r="J238" s="5">
        <v>112.61</v>
      </c>
    </row>
    <row r="239" spans="1:10" ht="15" thickBot="1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5">
        <v>183</v>
      </c>
      <c r="I239" s="5">
        <v>151.16</v>
      </c>
      <c r="J239" s="5">
        <v>79.19</v>
      </c>
    </row>
    <row r="240" spans="1:10" ht="15" thickBot="1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5">
        <v>59</v>
      </c>
      <c r="I240" s="5">
        <v>397.74</v>
      </c>
      <c r="J240" s="5">
        <v>352.17</v>
      </c>
    </row>
    <row r="241" spans="1:10" ht="15" thickBot="1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5">
        <v>208</v>
      </c>
      <c r="I241" s="5">
        <v>96.69</v>
      </c>
      <c r="J241" s="5">
        <v>263.70999999999998</v>
      </c>
    </row>
    <row r="242" spans="1:10" ht="15" thickBot="1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5">
        <v>396</v>
      </c>
      <c r="I242" s="5">
        <v>459.29</v>
      </c>
      <c r="J242" s="5">
        <v>125.75</v>
      </c>
    </row>
    <row r="243" spans="1:10" ht="29.4" thickBot="1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5">
        <v>358</v>
      </c>
      <c r="I243" s="5">
        <v>215.14</v>
      </c>
      <c r="J243" s="5">
        <v>297.45</v>
      </c>
    </row>
    <row r="244" spans="1:10" ht="29.4" thickBot="1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5">
        <v>457</v>
      </c>
      <c r="I244" s="5">
        <v>48.08</v>
      </c>
      <c r="J244" s="5">
        <v>326.42</v>
      </c>
    </row>
    <row r="245" spans="1:10" ht="15" thickBot="1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5">
        <v>437</v>
      </c>
      <c r="I245" s="5">
        <v>408.8</v>
      </c>
      <c r="J245" s="5">
        <v>246.76</v>
      </c>
    </row>
    <row r="246" spans="1:10" ht="15" thickBot="1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5">
        <v>190</v>
      </c>
      <c r="I246" s="5">
        <v>189.89</v>
      </c>
      <c r="J246" s="5">
        <v>275.77999999999997</v>
      </c>
    </row>
    <row r="247" spans="1:10" ht="29.4" thickBot="1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5">
        <v>33</v>
      </c>
      <c r="I247" s="5">
        <v>265.62</v>
      </c>
      <c r="J247" s="5">
        <v>151.35</v>
      </c>
    </row>
    <row r="248" spans="1:10" ht="29.4" thickBot="1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5">
        <v>325</v>
      </c>
      <c r="I248" s="5">
        <v>60.59</v>
      </c>
      <c r="J248" s="5">
        <v>216.4</v>
      </c>
    </row>
    <row r="249" spans="1:10" ht="15" thickBot="1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5">
        <v>387</v>
      </c>
      <c r="I249" s="5">
        <v>6.28</v>
      </c>
      <c r="J249" s="5">
        <v>210.62</v>
      </c>
    </row>
    <row r="250" spans="1:10" ht="15" thickBot="1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5">
        <v>396</v>
      </c>
      <c r="I250" s="5">
        <v>320.8</v>
      </c>
      <c r="J250" s="5">
        <v>339.52</v>
      </c>
    </row>
    <row r="251" spans="1:10" ht="29.4" thickBot="1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5">
        <v>413</v>
      </c>
      <c r="I251" s="5">
        <v>260.01</v>
      </c>
      <c r="J251" s="5">
        <v>336.31</v>
      </c>
    </row>
    <row r="252" spans="1:10" ht="29.4" thickBot="1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/>
      <c r="I252" s="5">
        <v>298.8</v>
      </c>
      <c r="J252" s="5">
        <v>333.41</v>
      </c>
    </row>
    <row r="253" spans="1:10" ht="29.4" thickBot="1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5">
        <v>24</v>
      </c>
      <c r="I253" s="5">
        <v>397.9</v>
      </c>
      <c r="J253" s="5">
        <v>6.39</v>
      </c>
    </row>
    <row r="254" spans="1:10" ht="15" thickBot="1">
      <c r="A254" s="3" t="s">
        <v>281</v>
      </c>
      <c r="B254" s="3" t="s">
        <v>17</v>
      </c>
      <c r="C254" s="3" t="s">
        <v>12</v>
      </c>
      <c r="D254" s="3"/>
      <c r="E254" s="3" t="s">
        <v>14</v>
      </c>
      <c r="F254" s="3" t="s">
        <v>15</v>
      </c>
      <c r="G254" s="4">
        <v>45179</v>
      </c>
      <c r="H254" s="5">
        <v>162</v>
      </c>
      <c r="I254" s="5">
        <v>325.07</v>
      </c>
      <c r="J254" s="5">
        <v>300.32</v>
      </c>
    </row>
    <row r="255" spans="1:10" ht="29.4" thickBot="1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5">
        <v>231</v>
      </c>
      <c r="I255" s="5">
        <v>91.51</v>
      </c>
      <c r="J255" s="5">
        <v>303.95</v>
      </c>
    </row>
    <row r="256" spans="1:10" ht="15" thickBot="1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5">
        <v>215</v>
      </c>
      <c r="I256" s="5">
        <v>183.58</v>
      </c>
      <c r="J256" s="5">
        <v>271.99</v>
      </c>
    </row>
    <row r="257" spans="1:10" ht="15" thickBot="1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5">
        <v>464</v>
      </c>
      <c r="I257" s="5">
        <v>453.42</v>
      </c>
      <c r="J257" s="5">
        <v>302.99</v>
      </c>
    </row>
    <row r="258" spans="1:10" ht="15" thickBot="1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5">
        <v>282</v>
      </c>
      <c r="I258" s="3"/>
      <c r="J258" s="5">
        <v>337.1</v>
      </c>
    </row>
    <row r="259" spans="1:10" ht="29.4" thickBot="1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5">
        <v>391</v>
      </c>
      <c r="I259" s="5">
        <v>280.54000000000002</v>
      </c>
      <c r="J259" s="5">
        <v>189.19</v>
      </c>
    </row>
    <row r="260" spans="1:10" ht="29.4" thickBot="1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5">
        <v>245</v>
      </c>
      <c r="I260" s="5">
        <v>131.54</v>
      </c>
      <c r="J260" s="5">
        <v>201.82</v>
      </c>
    </row>
    <row r="261" spans="1:10" ht="15" thickBot="1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5">
        <v>349</v>
      </c>
      <c r="I261" s="5">
        <v>154.52000000000001</v>
      </c>
      <c r="J261" s="5">
        <v>51.64</v>
      </c>
    </row>
    <row r="262" spans="1:10" ht="15" thickBot="1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5">
        <v>237</v>
      </c>
      <c r="I262" s="3"/>
      <c r="J262" s="5">
        <v>155.38</v>
      </c>
    </row>
    <row r="263" spans="1:10" ht="15" thickBot="1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5">
        <v>18</v>
      </c>
      <c r="I263" s="5">
        <v>426.33</v>
      </c>
      <c r="J263" s="5">
        <v>258.06</v>
      </c>
    </row>
    <row r="264" spans="1:10" ht="29.4" thickBot="1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5">
        <v>175</v>
      </c>
      <c r="I264" s="5">
        <v>337.36</v>
      </c>
      <c r="J264" s="5">
        <v>312.60000000000002</v>
      </c>
    </row>
    <row r="265" spans="1:10" ht="15" thickBot="1">
      <c r="A265" s="3" t="s">
        <v>292</v>
      </c>
      <c r="B265" s="3" t="s">
        <v>22</v>
      </c>
      <c r="C265" s="3" t="s">
        <v>18</v>
      </c>
      <c r="D265" s="3"/>
      <c r="E265" s="3" t="s">
        <v>14</v>
      </c>
      <c r="F265" s="3" t="s">
        <v>15</v>
      </c>
      <c r="G265" s="4">
        <v>45190</v>
      </c>
      <c r="H265" s="5">
        <v>441</v>
      </c>
      <c r="I265" s="5">
        <v>405.72</v>
      </c>
      <c r="J265" s="5">
        <v>88.45</v>
      </c>
    </row>
    <row r="266" spans="1:10" ht="15" thickBot="1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5">
        <v>453</v>
      </c>
      <c r="I266" s="5">
        <v>384.49</v>
      </c>
      <c r="J266" s="5">
        <v>56.85</v>
      </c>
    </row>
    <row r="267" spans="1:10" ht="15" thickBot="1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5">
        <v>328</v>
      </c>
      <c r="I267" s="5">
        <v>79.099999999999994</v>
      </c>
      <c r="J267" s="5">
        <v>265.89</v>
      </c>
    </row>
    <row r="268" spans="1:10" ht="29.4" thickBot="1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5">
        <v>223</v>
      </c>
      <c r="I268" s="5">
        <v>214.85</v>
      </c>
      <c r="J268" s="5">
        <v>2.75</v>
      </c>
    </row>
    <row r="269" spans="1:10" ht="29.4" thickBot="1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5">
        <v>126</v>
      </c>
      <c r="I269" s="5">
        <v>80.73</v>
      </c>
      <c r="J269" s="5">
        <v>72.989999999999995</v>
      </c>
    </row>
    <row r="270" spans="1:10" ht="15" thickBot="1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5">
        <v>395</v>
      </c>
      <c r="I270" s="5">
        <v>121.44</v>
      </c>
      <c r="J270" s="5">
        <v>13.57</v>
      </c>
    </row>
    <row r="271" spans="1:10" ht="15" thickBot="1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5">
        <v>353</v>
      </c>
      <c r="I271" s="5">
        <v>435.28</v>
      </c>
      <c r="J271" s="5">
        <v>68.42</v>
      </c>
    </row>
    <row r="272" spans="1:10" ht="15" thickBot="1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5">
        <v>81</v>
      </c>
      <c r="I272" s="5">
        <v>239.08</v>
      </c>
      <c r="J272" s="5">
        <v>74.17</v>
      </c>
    </row>
    <row r="273" spans="1:10" ht="15" thickBot="1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5">
        <v>404</v>
      </c>
      <c r="I273" s="5">
        <v>270</v>
      </c>
      <c r="J273" s="5">
        <v>156.29</v>
      </c>
    </row>
    <row r="274" spans="1:10" ht="15" thickBot="1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5">
        <v>73</v>
      </c>
      <c r="I274" s="5">
        <v>93.33</v>
      </c>
      <c r="J274" s="5">
        <v>162.13</v>
      </c>
    </row>
    <row r="275" spans="1:10" ht="29.4" thickBot="1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5">
        <v>214</v>
      </c>
      <c r="I275" s="5">
        <v>159.57</v>
      </c>
      <c r="J275" s="5">
        <v>349.96</v>
      </c>
    </row>
    <row r="276" spans="1:10" ht="29.4" thickBot="1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5">
        <v>218</v>
      </c>
      <c r="I276" s="5">
        <v>118.97</v>
      </c>
      <c r="J276" s="5">
        <v>205.02</v>
      </c>
    </row>
    <row r="277" spans="1:10" ht="29.4" thickBot="1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5">
        <v>81</v>
      </c>
      <c r="I277" s="5">
        <v>107.06</v>
      </c>
      <c r="J277" s="5">
        <v>289.92</v>
      </c>
    </row>
    <row r="278" spans="1:10" ht="29.4" thickBot="1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5">
        <v>286</v>
      </c>
      <c r="I278" s="5">
        <v>320.79000000000002</v>
      </c>
      <c r="J278" s="5">
        <v>43.45</v>
      </c>
    </row>
    <row r="279" spans="1:10" ht="29.4" thickBot="1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5">
        <v>283</v>
      </c>
      <c r="I279" s="5">
        <v>132.16</v>
      </c>
      <c r="J279" s="5">
        <v>91.72</v>
      </c>
    </row>
    <row r="280" spans="1:10" ht="29.4" thickBot="1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5">
        <v>487</v>
      </c>
      <c r="I280" s="5">
        <v>317.85000000000002</v>
      </c>
      <c r="J280" s="5">
        <v>281.77</v>
      </c>
    </row>
    <row r="281" spans="1:10" ht="15" thickBot="1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5">
        <v>329</v>
      </c>
      <c r="I281" s="5">
        <v>33.94</v>
      </c>
      <c r="J281" s="5">
        <v>23.02</v>
      </c>
    </row>
    <row r="282" spans="1:10" ht="15" thickBot="1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5">
        <v>347</v>
      </c>
      <c r="I282" s="5">
        <v>75.180000000000007</v>
      </c>
      <c r="J282" s="5">
        <v>195.67</v>
      </c>
    </row>
    <row r="283" spans="1:10" ht="29.4" thickBot="1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5">
        <v>375</v>
      </c>
      <c r="I283" s="5">
        <v>140.9</v>
      </c>
      <c r="J283" s="5">
        <v>240.55</v>
      </c>
    </row>
    <row r="284" spans="1:10" ht="15" thickBot="1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5">
        <v>104</v>
      </c>
      <c r="I284" s="5">
        <v>300.54000000000002</v>
      </c>
      <c r="J284" s="5">
        <v>241.65</v>
      </c>
    </row>
    <row r="285" spans="1:10" ht="15" thickBot="1">
      <c r="A285" s="3" t="s">
        <v>312</v>
      </c>
      <c r="B285" s="3" t="s">
        <v>11</v>
      </c>
      <c r="C285" s="3" t="s">
        <v>12</v>
      </c>
      <c r="D285" s="3"/>
      <c r="E285" s="3" t="s">
        <v>14</v>
      </c>
      <c r="F285" s="3" t="s">
        <v>15</v>
      </c>
      <c r="G285" s="4">
        <v>45210</v>
      </c>
      <c r="H285" s="5">
        <v>175</v>
      </c>
      <c r="I285" s="5">
        <v>339.54</v>
      </c>
      <c r="J285" s="5">
        <v>11.13</v>
      </c>
    </row>
    <row r="286" spans="1:10" ht="29.4" thickBot="1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5">
        <v>41</v>
      </c>
      <c r="I286" s="5">
        <v>224.14</v>
      </c>
      <c r="J286" s="5">
        <v>130.19999999999999</v>
      </c>
    </row>
    <row r="287" spans="1:10" ht="15" thickBot="1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5">
        <v>20</v>
      </c>
      <c r="I287" s="5">
        <v>225.67</v>
      </c>
      <c r="J287" s="5">
        <v>255.32</v>
      </c>
    </row>
    <row r="288" spans="1:10" ht="15" thickBot="1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5">
        <v>310</v>
      </c>
      <c r="I288" s="5">
        <v>363.64</v>
      </c>
      <c r="J288" s="5">
        <v>61.3</v>
      </c>
    </row>
    <row r="289" spans="1:10" ht="15" thickBot="1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5">
        <v>226</v>
      </c>
      <c r="I289" s="3"/>
      <c r="J289" s="5">
        <v>278.77999999999997</v>
      </c>
    </row>
    <row r="290" spans="1:10" ht="15" thickBot="1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/>
      <c r="I290" s="5">
        <v>173.84</v>
      </c>
      <c r="J290" s="5">
        <v>298.88</v>
      </c>
    </row>
    <row r="291" spans="1:10" ht="15" thickBot="1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5">
        <v>111</v>
      </c>
      <c r="I291" s="5">
        <v>410.26</v>
      </c>
      <c r="J291" s="5">
        <v>392.82</v>
      </c>
    </row>
    <row r="292" spans="1:10" ht="15" thickBot="1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5">
        <v>434</v>
      </c>
      <c r="I292" s="5">
        <v>303.58999999999997</v>
      </c>
      <c r="J292" s="5">
        <v>85.52</v>
      </c>
    </row>
    <row r="293" spans="1:10" ht="29.4" thickBot="1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5">
        <v>401</v>
      </c>
      <c r="I293" s="5">
        <v>171.93</v>
      </c>
      <c r="J293" s="5">
        <v>330.4</v>
      </c>
    </row>
    <row r="294" spans="1:10" ht="15" thickBot="1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5">
        <v>276</v>
      </c>
      <c r="I294" s="5">
        <v>453.23</v>
      </c>
      <c r="J294" s="5">
        <v>209.08</v>
      </c>
    </row>
    <row r="295" spans="1:10" ht="29.4" thickBot="1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/>
      <c r="I295" s="5">
        <v>387.45</v>
      </c>
      <c r="J295" s="5">
        <v>150.63999999999999</v>
      </c>
    </row>
    <row r="296" spans="1:10" ht="15" thickBot="1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5">
        <v>188</v>
      </c>
      <c r="I296" s="5">
        <v>136.12</v>
      </c>
      <c r="J296" s="5">
        <v>50.71</v>
      </c>
    </row>
    <row r="297" spans="1:10" ht="15" thickBot="1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5">
        <v>97</v>
      </c>
      <c r="I297" s="5">
        <v>324.42</v>
      </c>
      <c r="J297" s="5">
        <v>294.73</v>
      </c>
    </row>
    <row r="298" spans="1:10" ht="15" thickBot="1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5">
        <v>50</v>
      </c>
      <c r="I298" s="5">
        <v>299.89999999999998</v>
      </c>
      <c r="J298" s="5">
        <v>95.87</v>
      </c>
    </row>
    <row r="299" spans="1:10" ht="15" thickBot="1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5">
        <v>410</v>
      </c>
      <c r="I299" s="5">
        <v>203.59</v>
      </c>
      <c r="J299" s="5">
        <v>149.83000000000001</v>
      </c>
    </row>
    <row r="300" spans="1:10" ht="29.4" thickBot="1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5">
        <v>85</v>
      </c>
      <c r="I300" s="5">
        <v>186.64</v>
      </c>
      <c r="J300" s="5">
        <v>26.89</v>
      </c>
    </row>
    <row r="301" spans="1:10" ht="15" thickBot="1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5">
        <v>386</v>
      </c>
      <c r="I301" s="5">
        <v>175.06</v>
      </c>
      <c r="J301" s="5">
        <v>320.94</v>
      </c>
    </row>
    <row r="302" spans="1:10" ht="29.4" thickBot="1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5">
        <v>55</v>
      </c>
      <c r="I302" s="5">
        <v>310.49</v>
      </c>
      <c r="J302" s="5">
        <v>307.10000000000002</v>
      </c>
    </row>
    <row r="303" spans="1:10" ht="15" thickBot="1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5">
        <v>169</v>
      </c>
      <c r="I303" s="5">
        <v>223.99</v>
      </c>
      <c r="J303" s="5">
        <v>293.98</v>
      </c>
    </row>
    <row r="304" spans="1:10" ht="15" thickBot="1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5">
        <v>472</v>
      </c>
      <c r="I304" s="5">
        <v>416.77</v>
      </c>
      <c r="J304" s="5">
        <v>121.18</v>
      </c>
    </row>
    <row r="305" spans="1:10" ht="15" thickBot="1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5">
        <v>89</v>
      </c>
      <c r="I305" s="5">
        <v>336.45</v>
      </c>
      <c r="J305" s="5">
        <v>71.05</v>
      </c>
    </row>
    <row r="306" spans="1:10" ht="15" thickBot="1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5">
        <v>319</v>
      </c>
      <c r="I306" s="5">
        <v>39.619999999999997</v>
      </c>
      <c r="J306" s="5">
        <v>255.75</v>
      </c>
    </row>
    <row r="307" spans="1:10" ht="15" thickBot="1">
      <c r="A307" s="3" t="s">
        <v>334</v>
      </c>
      <c r="B307" s="3" t="s">
        <v>22</v>
      </c>
      <c r="C307" s="3" t="s">
        <v>12</v>
      </c>
      <c r="D307" s="3"/>
      <c r="E307" s="3" t="s">
        <v>14</v>
      </c>
      <c r="F307" s="3" t="s">
        <v>28</v>
      </c>
      <c r="G307" s="4">
        <v>45232</v>
      </c>
      <c r="H307" s="5">
        <v>95</v>
      </c>
      <c r="I307" s="5">
        <v>321.88</v>
      </c>
      <c r="J307" s="5">
        <v>199.47</v>
      </c>
    </row>
    <row r="308" spans="1:10" ht="15" thickBot="1">
      <c r="A308" s="3" t="s">
        <v>335</v>
      </c>
      <c r="B308" s="3" t="s">
        <v>17</v>
      </c>
      <c r="C308" s="3" t="s">
        <v>31</v>
      </c>
      <c r="D308" s="3"/>
      <c r="E308" s="3" t="s">
        <v>24</v>
      </c>
      <c r="F308" s="3" t="s">
        <v>15</v>
      </c>
      <c r="G308" s="4">
        <v>45233</v>
      </c>
      <c r="H308" s="5">
        <v>101</v>
      </c>
      <c r="I308" s="5">
        <v>139.22</v>
      </c>
      <c r="J308" s="5">
        <v>72.94</v>
      </c>
    </row>
    <row r="309" spans="1:10" ht="15" thickBot="1">
      <c r="A309" s="3" t="s">
        <v>336</v>
      </c>
      <c r="B309" s="3" t="s">
        <v>48</v>
      </c>
      <c r="C309" s="3" t="s">
        <v>50</v>
      </c>
      <c r="D309" s="3"/>
      <c r="E309" s="3" t="s">
        <v>14</v>
      </c>
      <c r="F309" s="3" t="s">
        <v>28</v>
      </c>
      <c r="G309" s="4">
        <v>45234</v>
      </c>
      <c r="H309" s="5">
        <v>157</v>
      </c>
      <c r="I309" s="3"/>
      <c r="J309" s="5">
        <v>274.99</v>
      </c>
    </row>
    <row r="310" spans="1:10" ht="15" thickBot="1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5">
        <v>170</v>
      </c>
      <c r="I310" s="5">
        <v>341.67</v>
      </c>
      <c r="J310" s="5">
        <v>396.47</v>
      </c>
    </row>
    <row r="311" spans="1:10" ht="29.4" thickBot="1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5">
        <v>211</v>
      </c>
      <c r="I311" s="5">
        <v>119.26</v>
      </c>
      <c r="J311" s="5">
        <v>299.39</v>
      </c>
    </row>
    <row r="312" spans="1:10" ht="15" thickBot="1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5">
        <v>433</v>
      </c>
      <c r="I312" s="5">
        <v>231.15</v>
      </c>
      <c r="J312" s="5">
        <v>296.51</v>
      </c>
    </row>
    <row r="313" spans="1:10" ht="29.4" thickBot="1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5">
        <v>425</v>
      </c>
      <c r="I313" s="5">
        <v>99.21</v>
      </c>
      <c r="J313" s="5">
        <v>380.22</v>
      </c>
    </row>
    <row r="314" spans="1:10" ht="15" thickBot="1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5">
        <v>251</v>
      </c>
      <c r="I314" s="5">
        <v>30.91</v>
      </c>
      <c r="J314" s="5">
        <v>82.77</v>
      </c>
    </row>
    <row r="315" spans="1:10" ht="15" thickBot="1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/>
      <c r="I315" s="5">
        <v>192.35</v>
      </c>
      <c r="J315" s="5">
        <v>227.09</v>
      </c>
    </row>
    <row r="316" spans="1:10" ht="29.4" thickBot="1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5">
        <v>11</v>
      </c>
      <c r="I316" s="5">
        <v>184.66</v>
      </c>
      <c r="J316" s="5">
        <v>391.9</v>
      </c>
    </row>
    <row r="317" spans="1:10" ht="15" thickBot="1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5">
        <v>234</v>
      </c>
      <c r="I317" s="5">
        <v>497.76</v>
      </c>
      <c r="J317" s="5">
        <v>67.790000000000006</v>
      </c>
    </row>
    <row r="318" spans="1:10" ht="15" thickBot="1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/>
      <c r="I318" s="5">
        <v>225.94</v>
      </c>
      <c r="J318" s="5">
        <v>280.7</v>
      </c>
    </row>
    <row r="319" spans="1:10" ht="29.4" thickBot="1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5">
        <v>242</v>
      </c>
      <c r="I319" s="5">
        <v>170.12</v>
      </c>
      <c r="J319" s="5">
        <v>235.15</v>
      </c>
    </row>
    <row r="320" spans="1:10" ht="15" thickBot="1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5">
        <v>470</v>
      </c>
      <c r="I320" s="5">
        <v>292.33999999999997</v>
      </c>
      <c r="J320" s="5">
        <v>235.42</v>
      </c>
    </row>
    <row r="321" spans="1:10" ht="15" thickBot="1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5">
        <v>423</v>
      </c>
      <c r="I321" s="5">
        <v>48.94</v>
      </c>
      <c r="J321" s="5">
        <v>279.67</v>
      </c>
    </row>
    <row r="322" spans="1:10" ht="29.4" thickBot="1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5">
        <v>426</v>
      </c>
      <c r="I322" s="5">
        <v>481.02</v>
      </c>
      <c r="J322" s="5">
        <v>371.99</v>
      </c>
    </row>
    <row r="323" spans="1:10" ht="15" thickBot="1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5">
        <v>86</v>
      </c>
      <c r="I323" s="5">
        <v>319.31</v>
      </c>
      <c r="J323" s="5">
        <v>313.47000000000003</v>
      </c>
    </row>
    <row r="324" spans="1:10" ht="15" thickBot="1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5">
        <v>125</v>
      </c>
      <c r="I324" s="5">
        <v>378.64</v>
      </c>
      <c r="J324" s="5">
        <v>24.34</v>
      </c>
    </row>
    <row r="325" spans="1:10" ht="15" thickBot="1">
      <c r="A325" s="3" t="s">
        <v>352</v>
      </c>
      <c r="B325" s="3" t="s">
        <v>48</v>
      </c>
      <c r="C325" s="3" t="s">
        <v>18</v>
      </c>
      <c r="D325" s="3"/>
      <c r="E325" s="3" t="s">
        <v>14</v>
      </c>
      <c r="F325" s="3" t="s">
        <v>15</v>
      </c>
      <c r="G325" s="4">
        <v>45250</v>
      </c>
      <c r="H325" s="5">
        <v>163</v>
      </c>
      <c r="I325" s="5">
        <v>89.39</v>
      </c>
      <c r="J325" s="5">
        <v>341.39</v>
      </c>
    </row>
    <row r="326" spans="1:10" ht="29.4" thickBot="1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5">
        <v>415</v>
      </c>
      <c r="I326" s="5">
        <v>207.69</v>
      </c>
      <c r="J326" s="5">
        <v>91.77</v>
      </c>
    </row>
    <row r="327" spans="1:10" ht="15" thickBot="1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5">
        <v>112</v>
      </c>
      <c r="I327" s="5">
        <v>214.23</v>
      </c>
      <c r="J327" s="5">
        <v>152.01</v>
      </c>
    </row>
    <row r="328" spans="1:10" ht="15" thickBot="1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5">
        <v>203</v>
      </c>
      <c r="I328" s="5">
        <v>411.79</v>
      </c>
      <c r="J328" s="5">
        <v>185.77</v>
      </c>
    </row>
    <row r="329" spans="1:10" ht="29.4" thickBot="1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/>
      <c r="I329" s="5">
        <v>5.61</v>
      </c>
      <c r="J329" s="5">
        <v>193.4</v>
      </c>
    </row>
    <row r="330" spans="1:10" ht="29.4" thickBot="1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5">
        <v>368</v>
      </c>
      <c r="I330" s="5">
        <v>153.91999999999999</v>
      </c>
      <c r="J330" s="5">
        <v>175.2</v>
      </c>
    </row>
    <row r="331" spans="1:10" ht="29.4" thickBot="1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5">
        <v>99</v>
      </c>
      <c r="I331" s="5">
        <v>490.71</v>
      </c>
      <c r="J331" s="5">
        <v>375.07</v>
      </c>
    </row>
    <row r="332" spans="1:10" ht="29.4" thickBot="1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5">
        <v>183</v>
      </c>
      <c r="I332" s="5">
        <v>240.07</v>
      </c>
      <c r="J332" s="5">
        <v>283</v>
      </c>
    </row>
    <row r="333" spans="1:10" ht="29.4" thickBot="1">
      <c r="A333" s="3" t="s">
        <v>360</v>
      </c>
      <c r="B333" s="3"/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5">
        <v>131</v>
      </c>
      <c r="I333" s="5">
        <v>194.35</v>
      </c>
      <c r="J333" s="5">
        <v>253.21</v>
      </c>
    </row>
    <row r="334" spans="1:10" ht="15" thickBot="1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5">
        <v>152</v>
      </c>
      <c r="I334" s="5">
        <v>64.319999999999993</v>
      </c>
      <c r="J334" s="5">
        <v>21.84</v>
      </c>
    </row>
    <row r="335" spans="1:10" ht="15" thickBot="1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5">
        <v>491</v>
      </c>
      <c r="I335" s="5">
        <v>487.21</v>
      </c>
      <c r="J335" s="5">
        <v>361.76</v>
      </c>
    </row>
    <row r="336" spans="1:10" ht="29.4" thickBot="1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5">
        <v>115</v>
      </c>
      <c r="I336" s="5">
        <v>14.91</v>
      </c>
      <c r="J336" s="5">
        <v>363.94</v>
      </c>
    </row>
    <row r="337" spans="1:10" ht="29.4" thickBot="1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5">
        <v>384</v>
      </c>
      <c r="I337" s="5">
        <v>369.9</v>
      </c>
      <c r="J337" s="5">
        <v>312.52</v>
      </c>
    </row>
    <row r="338" spans="1:10" ht="15" thickBot="1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5">
        <v>437</v>
      </c>
      <c r="I338" s="5">
        <v>385.46</v>
      </c>
      <c r="J338" s="5">
        <v>4.8</v>
      </c>
    </row>
    <row r="339" spans="1:10" ht="15" thickBot="1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5">
        <v>314</v>
      </c>
      <c r="I339" s="5">
        <v>125.61</v>
      </c>
      <c r="J339" s="5">
        <v>24.8</v>
      </c>
    </row>
    <row r="340" spans="1:10" ht="15" thickBot="1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5">
        <v>369</v>
      </c>
      <c r="I340" s="5">
        <v>337.42</v>
      </c>
      <c r="J340" s="5">
        <v>91.64</v>
      </c>
    </row>
    <row r="341" spans="1:10" ht="29.4" thickBot="1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5">
        <v>468</v>
      </c>
      <c r="I341" s="5">
        <v>51</v>
      </c>
      <c r="J341" s="5">
        <v>54.28</v>
      </c>
    </row>
    <row r="342" spans="1:10" ht="15" thickBot="1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5">
        <v>326</v>
      </c>
      <c r="I342" s="5">
        <v>132.24</v>
      </c>
      <c r="J342" s="5">
        <v>160.74</v>
      </c>
    </row>
    <row r="343" spans="1:10" ht="29.4" thickBot="1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5">
        <v>460</v>
      </c>
      <c r="I343" s="5">
        <v>395.01</v>
      </c>
      <c r="J343" s="5">
        <v>369.2</v>
      </c>
    </row>
    <row r="344" spans="1:10" ht="15" thickBot="1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5">
        <v>132</v>
      </c>
      <c r="I344" s="5">
        <v>433.02</v>
      </c>
      <c r="J344" s="5">
        <v>189.88</v>
      </c>
    </row>
    <row r="345" spans="1:10" ht="15" thickBot="1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5">
        <v>399</v>
      </c>
      <c r="I345" s="5">
        <v>306.2</v>
      </c>
      <c r="J345" s="5">
        <v>7.33</v>
      </c>
    </row>
    <row r="346" spans="1:10" ht="15" thickBot="1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5">
        <v>18</v>
      </c>
      <c r="I346" s="5">
        <v>255.89</v>
      </c>
      <c r="J346" s="5">
        <v>114.53</v>
      </c>
    </row>
    <row r="347" spans="1:10" ht="15" thickBot="1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5">
        <v>271</v>
      </c>
      <c r="I347" s="5">
        <v>83.86</v>
      </c>
      <c r="J347" s="5">
        <v>19.75</v>
      </c>
    </row>
    <row r="348" spans="1:10" ht="29.4" thickBot="1">
      <c r="A348" s="3" t="s">
        <v>375</v>
      </c>
      <c r="B348" s="3"/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5">
        <v>82</v>
      </c>
      <c r="I348" s="5">
        <v>36.24</v>
      </c>
      <c r="J348" s="5">
        <v>16.440000000000001</v>
      </c>
    </row>
    <row r="349" spans="1:10" ht="15" thickBot="1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5">
        <v>368</v>
      </c>
      <c r="I349" s="5">
        <v>63.24</v>
      </c>
      <c r="J349" s="5">
        <v>111.74</v>
      </c>
    </row>
    <row r="350" spans="1:10" ht="29.4" thickBot="1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5">
        <v>232</v>
      </c>
      <c r="I350" s="5">
        <v>117.54</v>
      </c>
      <c r="J350" s="5">
        <v>111.69</v>
      </c>
    </row>
    <row r="351" spans="1:10" ht="15" thickBot="1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5">
        <v>425</v>
      </c>
      <c r="I351" s="5">
        <v>174.13</v>
      </c>
      <c r="J351" s="5">
        <v>315.27999999999997</v>
      </c>
    </row>
  </sheetData>
  <autoFilter ref="A1:K351" xr:uid="{FF86B3A0-35ED-49BA-8212-965F954EB85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6357-040E-48AC-975C-D918BCB40C66}">
  <dimension ref="A1:P351"/>
  <sheetViews>
    <sheetView tabSelected="1" workbookViewId="0">
      <selection activeCell="P12" sqref="P12"/>
    </sheetView>
  </sheetViews>
  <sheetFormatPr defaultRowHeight="14.4"/>
  <cols>
    <col min="7" max="7" width="15.44140625" bestFit="1" customWidth="1"/>
    <col min="15" max="15" width="13.33203125" customWidth="1"/>
  </cols>
  <sheetData>
    <row r="1" spans="1:16" ht="43.2">
      <c r="A1" s="11" t="s">
        <v>379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/>
      <c r="L1" s="12"/>
      <c r="M1" s="12"/>
      <c r="N1" s="12"/>
      <c r="O1" s="12" t="s">
        <v>381</v>
      </c>
      <c r="P1" s="12" t="s">
        <v>382</v>
      </c>
    </row>
    <row r="2" spans="1:16" ht="29.4" thickBot="1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9">
        <v>44927</v>
      </c>
      <c r="H2" s="10">
        <v>235</v>
      </c>
      <c r="I2" s="10">
        <v>152.91999999999999</v>
      </c>
      <c r="J2" s="10">
        <v>153.6</v>
      </c>
      <c r="K2" t="str">
        <f>IF(B2="", "West", B2:B351)</f>
        <v>East</v>
      </c>
      <c r="L2" s="7" t="str">
        <f>IF(D2="", "Beverages", D2)</f>
        <v>Beverages</v>
      </c>
      <c r="M2" s="7">
        <f>IF(H2="",AVERAGE($H$2:$H$351),H2)</f>
        <v>235</v>
      </c>
      <c r="N2" s="7">
        <f>IF(I2="",AVERAGE($I$2:$I$351),I2)</f>
        <v>152.91999999999999</v>
      </c>
      <c r="O2">
        <f>H2*I2</f>
        <v>35936.199999999997</v>
      </c>
      <c r="P2" s="7">
        <f>SUMIFS(O:O,A:A,"ORD0123")</f>
        <v>15849.300000000001</v>
      </c>
    </row>
    <row r="3" spans="1:16" ht="15" thickBot="1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5">
        <v>341</v>
      </c>
      <c r="I3" s="5">
        <v>467.92</v>
      </c>
      <c r="J3" s="5">
        <v>139.84</v>
      </c>
      <c r="K3" t="str">
        <f t="shared" ref="K3:L66" si="0">IF(B3="", "West", B3:B352)</f>
        <v>West</v>
      </c>
      <c r="L3" s="7" t="str">
        <f t="shared" ref="L3:L66" si="1">IF(D3="", "Beverages", D3)</f>
        <v>Food</v>
      </c>
      <c r="M3" s="7">
        <f t="shared" ref="M3:M66" si="2">IF(H3="",AVERAGE($H$2:$H$351),H3)</f>
        <v>341</v>
      </c>
      <c r="N3" s="7">
        <f t="shared" ref="N3:N66" si="3">IF(I3="",AVERAGE($I$2:$I$351),I3)</f>
        <v>467.92</v>
      </c>
      <c r="O3">
        <f t="shared" ref="O3:O66" si="4">H3*I3</f>
        <v>159560.72</v>
      </c>
      <c r="P3" s="7"/>
    </row>
    <row r="4" spans="1:16" ht="15" thickBot="1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5">
        <v>179</v>
      </c>
      <c r="I4" s="5">
        <v>473.94</v>
      </c>
      <c r="J4" s="5">
        <v>97.14</v>
      </c>
      <c r="K4" t="str">
        <f t="shared" si="0"/>
        <v>North</v>
      </c>
      <c r="L4" s="7" t="str">
        <f t="shared" si="1"/>
        <v>Clothing</v>
      </c>
      <c r="M4" s="7">
        <f t="shared" si="2"/>
        <v>179</v>
      </c>
      <c r="N4" s="7">
        <f t="shared" si="3"/>
        <v>473.94</v>
      </c>
      <c r="O4">
        <f t="shared" si="4"/>
        <v>84835.26</v>
      </c>
    </row>
    <row r="5" spans="1:16" ht="15" thickBot="1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5">
        <v>18</v>
      </c>
      <c r="I5" s="5">
        <v>314.52999999999997</v>
      </c>
      <c r="J5" s="5">
        <v>204.87</v>
      </c>
      <c r="K5" t="str">
        <f t="shared" si="0"/>
        <v>East</v>
      </c>
      <c r="L5" s="7" t="str">
        <f t="shared" si="1"/>
        <v>Furniture</v>
      </c>
      <c r="M5" s="7">
        <f t="shared" si="2"/>
        <v>18</v>
      </c>
      <c r="N5" s="7">
        <f t="shared" si="3"/>
        <v>314.52999999999997</v>
      </c>
      <c r="O5">
        <f t="shared" si="4"/>
        <v>5661.5399999999991</v>
      </c>
    </row>
    <row r="6" spans="1:16" ht="15" thickBot="1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5">
        <v>472</v>
      </c>
      <c r="I6" s="5">
        <v>392.79</v>
      </c>
      <c r="J6" s="5">
        <v>330.46</v>
      </c>
      <c r="K6" t="str">
        <f t="shared" si="0"/>
        <v>East</v>
      </c>
      <c r="L6" s="7" t="str">
        <f t="shared" si="1"/>
        <v>Furniture</v>
      </c>
      <c r="M6" s="7">
        <f t="shared" si="2"/>
        <v>472</v>
      </c>
      <c r="N6" s="7">
        <f t="shared" si="3"/>
        <v>392.79</v>
      </c>
      <c r="O6">
        <f t="shared" si="4"/>
        <v>185396.88</v>
      </c>
    </row>
    <row r="7" spans="1:16" ht="15" thickBot="1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5">
        <v>49</v>
      </c>
      <c r="I7" s="5">
        <v>308.07</v>
      </c>
      <c r="J7" s="5">
        <v>113.32</v>
      </c>
      <c r="K7" t="str">
        <f t="shared" si="0"/>
        <v>West</v>
      </c>
      <c r="L7" s="7" t="str">
        <f t="shared" si="1"/>
        <v>Clothing</v>
      </c>
      <c r="M7" s="7">
        <f t="shared" si="2"/>
        <v>49</v>
      </c>
      <c r="N7" s="7">
        <f t="shared" si="3"/>
        <v>308.07</v>
      </c>
      <c r="O7">
        <f t="shared" si="4"/>
        <v>15095.43</v>
      </c>
    </row>
    <row r="8" spans="1:16" ht="15" thickBot="1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5">
        <v>34</v>
      </c>
      <c r="I8" s="5">
        <v>244.78</v>
      </c>
      <c r="J8" s="5">
        <v>377.07</v>
      </c>
      <c r="K8" t="str">
        <f t="shared" si="0"/>
        <v>North</v>
      </c>
      <c r="L8" s="7" t="str">
        <f t="shared" si="1"/>
        <v>Clothing</v>
      </c>
      <c r="M8" s="7">
        <f t="shared" si="2"/>
        <v>34</v>
      </c>
      <c r="N8" s="7">
        <f t="shared" si="3"/>
        <v>244.78</v>
      </c>
      <c r="O8">
        <f t="shared" si="4"/>
        <v>8322.52</v>
      </c>
    </row>
    <row r="9" spans="1:16" ht="29.4" thickBot="1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5">
        <v>270</v>
      </c>
      <c r="I9" s="5">
        <v>332.11</v>
      </c>
      <c r="J9" s="5">
        <v>349.59</v>
      </c>
      <c r="K9" t="str">
        <f t="shared" si="0"/>
        <v>North</v>
      </c>
      <c r="L9" s="7" t="str">
        <f t="shared" si="1"/>
        <v>Beverages</v>
      </c>
      <c r="M9" s="7">
        <f t="shared" si="2"/>
        <v>270</v>
      </c>
      <c r="N9" s="7">
        <f t="shared" si="3"/>
        <v>332.11</v>
      </c>
      <c r="O9">
        <f t="shared" si="4"/>
        <v>89669.7</v>
      </c>
    </row>
    <row r="10" spans="1:16" ht="29.4" thickBot="1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5">
        <v>404</v>
      </c>
      <c r="I10" s="5">
        <v>278.74</v>
      </c>
      <c r="J10" s="5">
        <v>66.38</v>
      </c>
      <c r="K10" t="str">
        <f t="shared" si="0"/>
        <v>East</v>
      </c>
      <c r="L10" s="7" t="str">
        <f t="shared" si="1"/>
        <v>Beverages</v>
      </c>
      <c r="M10" s="7">
        <f t="shared" si="2"/>
        <v>404</v>
      </c>
      <c r="N10" s="7">
        <f t="shared" si="3"/>
        <v>278.74</v>
      </c>
      <c r="O10">
        <f t="shared" si="4"/>
        <v>112610.96</v>
      </c>
    </row>
    <row r="11" spans="1:16" ht="15" thickBot="1">
      <c r="A11" s="3" t="s">
        <v>35</v>
      </c>
      <c r="B11" s="3" t="s">
        <v>17</v>
      </c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5">
        <v>452</v>
      </c>
      <c r="I11" s="5">
        <v>300.75</v>
      </c>
      <c r="J11" s="5">
        <v>314.94</v>
      </c>
      <c r="K11" t="str">
        <f t="shared" si="0"/>
        <v>West</v>
      </c>
      <c r="L11" s="7" t="str">
        <f t="shared" si="1"/>
        <v>Furniture</v>
      </c>
      <c r="M11" s="7">
        <f t="shared" si="2"/>
        <v>452</v>
      </c>
      <c r="N11" s="7">
        <f t="shared" si="3"/>
        <v>300.75</v>
      </c>
      <c r="O11">
        <f t="shared" si="4"/>
        <v>135939</v>
      </c>
    </row>
    <row r="12" spans="1:16" ht="15" thickBot="1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5">
        <v>235</v>
      </c>
      <c r="I12" s="5">
        <v>393</v>
      </c>
      <c r="J12" s="5">
        <v>230.69</v>
      </c>
      <c r="K12" t="str">
        <f t="shared" si="0"/>
        <v>East</v>
      </c>
      <c r="L12" s="7" t="str">
        <f t="shared" si="1"/>
        <v>Food</v>
      </c>
      <c r="M12" s="7">
        <f t="shared" si="2"/>
        <v>235</v>
      </c>
      <c r="N12" s="7">
        <f t="shared" si="3"/>
        <v>393</v>
      </c>
      <c r="O12">
        <f t="shared" si="4"/>
        <v>92355</v>
      </c>
    </row>
    <row r="13" spans="1:16" ht="15" thickBot="1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5">
        <v>481</v>
      </c>
      <c r="I13" s="5">
        <v>243.05</v>
      </c>
      <c r="J13" s="5">
        <v>227.5</v>
      </c>
      <c r="K13" t="str">
        <f t="shared" si="0"/>
        <v>East</v>
      </c>
      <c r="L13" s="7" t="str">
        <f t="shared" si="1"/>
        <v>Furniture</v>
      </c>
      <c r="M13" s="7">
        <f t="shared" si="2"/>
        <v>481</v>
      </c>
      <c r="N13" s="7">
        <f t="shared" si="3"/>
        <v>243.05</v>
      </c>
      <c r="O13">
        <f t="shared" si="4"/>
        <v>116907.05</v>
      </c>
    </row>
    <row r="14" spans="1:16" ht="15" thickBot="1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5">
        <v>133</v>
      </c>
      <c r="I14" s="5">
        <v>25.17</v>
      </c>
      <c r="J14" s="5">
        <v>157.63999999999999</v>
      </c>
      <c r="K14" t="str">
        <f t="shared" si="0"/>
        <v>East</v>
      </c>
      <c r="L14" s="7" t="str">
        <f t="shared" si="1"/>
        <v>Food</v>
      </c>
      <c r="M14" s="7">
        <f t="shared" si="2"/>
        <v>133</v>
      </c>
      <c r="N14" s="7">
        <f t="shared" si="3"/>
        <v>25.17</v>
      </c>
      <c r="O14">
        <f t="shared" si="4"/>
        <v>3347.61</v>
      </c>
    </row>
    <row r="15" spans="1:16" ht="15" thickBot="1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5">
        <v>472</v>
      </c>
      <c r="I15" s="5">
        <v>86.18</v>
      </c>
      <c r="J15" s="5">
        <v>201.46</v>
      </c>
      <c r="K15" t="str">
        <f t="shared" si="0"/>
        <v>East</v>
      </c>
      <c r="L15" s="7" t="str">
        <f t="shared" si="1"/>
        <v>Food</v>
      </c>
      <c r="M15" s="7">
        <f t="shared" si="2"/>
        <v>472</v>
      </c>
      <c r="N15" s="7">
        <f t="shared" si="3"/>
        <v>86.18</v>
      </c>
      <c r="O15">
        <f t="shared" si="4"/>
        <v>40676.960000000006</v>
      </c>
    </row>
    <row r="16" spans="1:16" ht="29.4" thickBot="1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5">
        <v>47</v>
      </c>
      <c r="I16" s="5">
        <v>222.11</v>
      </c>
      <c r="J16" s="5">
        <v>160.08000000000001</v>
      </c>
      <c r="K16" t="str">
        <f t="shared" si="0"/>
        <v>West</v>
      </c>
      <c r="L16" s="7" t="str">
        <f t="shared" si="1"/>
        <v>Beverages</v>
      </c>
      <c r="M16" s="7">
        <f t="shared" si="2"/>
        <v>47</v>
      </c>
      <c r="N16" s="7">
        <f t="shared" si="3"/>
        <v>222.11</v>
      </c>
      <c r="O16">
        <f t="shared" si="4"/>
        <v>10439.17</v>
      </c>
    </row>
    <row r="17" spans="1:15" ht="29.4" thickBot="1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5">
        <v>337</v>
      </c>
      <c r="I17" s="5">
        <v>363.79</v>
      </c>
      <c r="J17" s="5">
        <v>216.81</v>
      </c>
      <c r="K17" t="str">
        <f t="shared" si="0"/>
        <v>North</v>
      </c>
      <c r="L17" s="7" t="str">
        <f t="shared" si="1"/>
        <v>Electronics</v>
      </c>
      <c r="M17" s="7">
        <f t="shared" si="2"/>
        <v>337</v>
      </c>
      <c r="N17" s="7">
        <f t="shared" si="3"/>
        <v>363.79</v>
      </c>
      <c r="O17">
        <f t="shared" si="4"/>
        <v>122597.23000000001</v>
      </c>
    </row>
    <row r="18" spans="1:15" ht="29.4" thickBot="1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5">
        <v>260</v>
      </c>
      <c r="I18" s="5">
        <v>298.67</v>
      </c>
      <c r="J18" s="5">
        <v>251.92</v>
      </c>
      <c r="K18" t="str">
        <f t="shared" si="0"/>
        <v>West</v>
      </c>
      <c r="L18" s="7" t="str">
        <f t="shared" si="1"/>
        <v>Electronics</v>
      </c>
      <c r="M18" s="7">
        <f t="shared" si="2"/>
        <v>260</v>
      </c>
      <c r="N18" s="7">
        <f t="shared" si="3"/>
        <v>298.67</v>
      </c>
      <c r="O18">
        <f t="shared" si="4"/>
        <v>77654.2</v>
      </c>
    </row>
    <row r="19" spans="1:15" ht="15" thickBot="1">
      <c r="A19" s="3" t="s">
        <v>44</v>
      </c>
      <c r="B19" s="3" t="s">
        <v>17</v>
      </c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5">
        <v>398</v>
      </c>
      <c r="I19" s="5">
        <v>326.89999999999998</v>
      </c>
      <c r="J19" s="5">
        <v>270.37</v>
      </c>
      <c r="K19" t="str">
        <f t="shared" si="0"/>
        <v>West</v>
      </c>
      <c r="L19" s="7" t="str">
        <f t="shared" si="1"/>
        <v>Clothing</v>
      </c>
      <c r="M19" s="7">
        <f t="shared" si="2"/>
        <v>398</v>
      </c>
      <c r="N19" s="7">
        <f t="shared" si="3"/>
        <v>326.89999999999998</v>
      </c>
      <c r="O19">
        <f t="shared" si="4"/>
        <v>130106.2</v>
      </c>
    </row>
    <row r="20" spans="1:15" ht="29.4" thickBot="1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5">
        <v>185</v>
      </c>
      <c r="I20" s="5">
        <v>242.24</v>
      </c>
      <c r="J20" s="5">
        <v>213.93</v>
      </c>
      <c r="K20" t="str">
        <f t="shared" si="0"/>
        <v>West</v>
      </c>
      <c r="L20" s="7" t="str">
        <f t="shared" si="1"/>
        <v>Beverages</v>
      </c>
      <c r="M20" s="7">
        <f t="shared" si="2"/>
        <v>185</v>
      </c>
      <c r="N20" s="7">
        <f t="shared" si="3"/>
        <v>242.24</v>
      </c>
      <c r="O20">
        <f t="shared" si="4"/>
        <v>44814.400000000001</v>
      </c>
    </row>
    <row r="21" spans="1:15" ht="15" thickBot="1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5">
        <v>99</v>
      </c>
      <c r="I21" s="5">
        <v>309.79000000000002</v>
      </c>
      <c r="J21" s="5">
        <v>289.13</v>
      </c>
      <c r="K21" t="str">
        <f t="shared" si="0"/>
        <v>East</v>
      </c>
      <c r="L21" s="7" t="str">
        <f t="shared" si="1"/>
        <v>Food</v>
      </c>
      <c r="M21" s="7">
        <f t="shared" si="2"/>
        <v>99</v>
      </c>
      <c r="N21" s="7">
        <f t="shared" si="3"/>
        <v>309.79000000000002</v>
      </c>
      <c r="O21">
        <f t="shared" si="4"/>
        <v>30669.210000000003</v>
      </c>
    </row>
    <row r="22" spans="1:15" ht="29.4" thickBot="1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5">
        <v>411</v>
      </c>
      <c r="I22" s="5">
        <v>167.86</v>
      </c>
      <c r="J22" s="5">
        <v>58.23</v>
      </c>
      <c r="K22" t="str">
        <f t="shared" si="0"/>
        <v>South</v>
      </c>
      <c r="L22" s="7" t="str">
        <f t="shared" si="1"/>
        <v>Electronics</v>
      </c>
      <c r="M22" s="7">
        <f t="shared" si="2"/>
        <v>411</v>
      </c>
      <c r="N22" s="7">
        <f t="shared" si="3"/>
        <v>167.86</v>
      </c>
      <c r="O22">
        <f t="shared" si="4"/>
        <v>68990.460000000006</v>
      </c>
    </row>
    <row r="23" spans="1:15" ht="15" thickBot="1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5">
        <v>463</v>
      </c>
      <c r="I23" s="5">
        <v>237.74</v>
      </c>
      <c r="J23" s="5">
        <v>86.37</v>
      </c>
      <c r="K23" t="str">
        <f t="shared" si="0"/>
        <v>North</v>
      </c>
      <c r="L23" s="7" t="str">
        <f t="shared" si="1"/>
        <v>Food</v>
      </c>
      <c r="M23" s="7">
        <f t="shared" si="2"/>
        <v>463</v>
      </c>
      <c r="N23" s="7">
        <f t="shared" si="3"/>
        <v>237.74</v>
      </c>
      <c r="O23">
        <f t="shared" si="4"/>
        <v>110073.62000000001</v>
      </c>
    </row>
    <row r="24" spans="1:15" ht="29.4" thickBot="1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5">
        <v>46</v>
      </c>
      <c r="I24" s="5">
        <v>373.42</v>
      </c>
      <c r="J24" s="5">
        <v>327.86</v>
      </c>
      <c r="K24" t="str">
        <f t="shared" si="0"/>
        <v>South</v>
      </c>
      <c r="L24" s="7" t="str">
        <f t="shared" si="1"/>
        <v>Electronics</v>
      </c>
      <c r="M24" s="7">
        <f t="shared" si="2"/>
        <v>46</v>
      </c>
      <c r="N24" s="7">
        <f t="shared" si="3"/>
        <v>373.42</v>
      </c>
      <c r="O24">
        <f t="shared" si="4"/>
        <v>17177.32</v>
      </c>
    </row>
    <row r="25" spans="1:15" ht="29.4" thickBot="1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5">
        <v>325</v>
      </c>
      <c r="I25" s="5">
        <v>436.56</v>
      </c>
      <c r="J25" s="5">
        <v>130.37</v>
      </c>
      <c r="K25" t="str">
        <f t="shared" si="0"/>
        <v>West</v>
      </c>
      <c r="L25" s="7" t="str">
        <f t="shared" si="1"/>
        <v>Electronics</v>
      </c>
      <c r="M25" s="7">
        <f t="shared" si="2"/>
        <v>325</v>
      </c>
      <c r="N25" s="7">
        <f t="shared" si="3"/>
        <v>436.56</v>
      </c>
      <c r="O25">
        <f t="shared" si="4"/>
        <v>141882</v>
      </c>
    </row>
    <row r="26" spans="1:15" ht="15" thickBot="1">
      <c r="A26" s="3" t="s">
        <v>53</v>
      </c>
      <c r="B26" s="3" t="s">
        <v>17</v>
      </c>
      <c r="C26" s="3" t="s">
        <v>18</v>
      </c>
      <c r="D26" s="7" t="s">
        <v>13</v>
      </c>
      <c r="E26" s="3" t="s">
        <v>24</v>
      </c>
      <c r="F26" s="3" t="s">
        <v>28</v>
      </c>
      <c r="G26" s="4">
        <v>44951</v>
      </c>
      <c r="H26" s="5">
        <v>185</v>
      </c>
      <c r="I26" s="5">
        <v>219.66</v>
      </c>
      <c r="J26" s="5">
        <v>11.11</v>
      </c>
      <c r="K26" t="str">
        <f t="shared" si="0"/>
        <v>West</v>
      </c>
      <c r="L26" s="7" t="str">
        <f t="shared" si="1"/>
        <v>Beverages</v>
      </c>
      <c r="M26" s="7">
        <f t="shared" si="2"/>
        <v>185</v>
      </c>
      <c r="N26" s="7">
        <f t="shared" si="3"/>
        <v>219.66</v>
      </c>
      <c r="O26">
        <f t="shared" si="4"/>
        <v>40637.1</v>
      </c>
    </row>
    <row r="27" spans="1:15" ht="29.4" thickBot="1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5">
        <v>470</v>
      </c>
      <c r="I27" s="5">
        <v>26.61</v>
      </c>
      <c r="J27" s="5">
        <v>63.21</v>
      </c>
      <c r="K27" t="str">
        <f t="shared" si="0"/>
        <v>South</v>
      </c>
      <c r="L27" s="7" t="str">
        <f t="shared" si="1"/>
        <v>Beverages</v>
      </c>
      <c r="M27" s="7">
        <f t="shared" si="2"/>
        <v>470</v>
      </c>
      <c r="N27" s="7">
        <f t="shared" si="3"/>
        <v>26.61</v>
      </c>
      <c r="O27">
        <f t="shared" si="4"/>
        <v>12506.699999999999</v>
      </c>
    </row>
    <row r="28" spans="1:15" ht="15" thickBot="1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5">
        <v>293</v>
      </c>
      <c r="I28" s="5">
        <v>85.03</v>
      </c>
      <c r="J28" s="5">
        <v>91</v>
      </c>
      <c r="K28" t="str">
        <f t="shared" si="0"/>
        <v>South</v>
      </c>
      <c r="L28" s="7" t="str">
        <f t="shared" si="1"/>
        <v>Furniture</v>
      </c>
      <c r="M28" s="7">
        <f t="shared" si="2"/>
        <v>293</v>
      </c>
      <c r="N28" s="7">
        <f t="shared" si="3"/>
        <v>85.03</v>
      </c>
      <c r="O28">
        <f t="shared" si="4"/>
        <v>24913.79</v>
      </c>
    </row>
    <row r="29" spans="1:15" ht="15" thickBot="1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5">
        <v>462</v>
      </c>
      <c r="I29" s="3">
        <v>249.64519999999999</v>
      </c>
      <c r="J29" s="5">
        <v>383.01</v>
      </c>
      <c r="K29" t="str">
        <f t="shared" si="0"/>
        <v>South</v>
      </c>
      <c r="L29" s="7" t="str">
        <f t="shared" si="1"/>
        <v>Food</v>
      </c>
      <c r="M29" s="7">
        <f t="shared" si="2"/>
        <v>462</v>
      </c>
      <c r="N29" s="7">
        <f t="shared" si="3"/>
        <v>249.64519999999999</v>
      </c>
      <c r="O29">
        <f t="shared" si="4"/>
        <v>115336.0824</v>
      </c>
    </row>
    <row r="30" spans="1:15" ht="29.4" thickBot="1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5">
        <v>470</v>
      </c>
      <c r="I30" s="5">
        <v>328.37</v>
      </c>
      <c r="J30" s="5">
        <v>230.07</v>
      </c>
      <c r="K30" t="str">
        <f t="shared" si="0"/>
        <v>West</v>
      </c>
      <c r="L30" s="7" t="str">
        <f t="shared" si="1"/>
        <v>Beverages</v>
      </c>
      <c r="M30" s="7">
        <f t="shared" si="2"/>
        <v>470</v>
      </c>
      <c r="N30" s="7">
        <f t="shared" si="3"/>
        <v>328.37</v>
      </c>
      <c r="O30">
        <f t="shared" si="4"/>
        <v>154333.9</v>
      </c>
    </row>
    <row r="31" spans="1:15" ht="29.4" thickBot="1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5">
        <v>90</v>
      </c>
      <c r="I31" s="5">
        <v>169.5</v>
      </c>
      <c r="J31" s="5">
        <v>373.23</v>
      </c>
      <c r="K31" t="str">
        <f t="shared" si="0"/>
        <v>West</v>
      </c>
      <c r="L31" s="7" t="str">
        <f t="shared" si="1"/>
        <v>Beverages</v>
      </c>
      <c r="M31" s="7">
        <f t="shared" si="2"/>
        <v>90</v>
      </c>
      <c r="N31" s="7">
        <f t="shared" si="3"/>
        <v>169.5</v>
      </c>
      <c r="O31">
        <f t="shared" si="4"/>
        <v>15255</v>
      </c>
    </row>
    <row r="32" spans="1:15" ht="29.4" thickBot="1">
      <c r="A32" s="3" t="s">
        <v>59</v>
      </c>
      <c r="B32" s="3" t="s">
        <v>17</v>
      </c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5">
        <v>123</v>
      </c>
      <c r="I32" s="5">
        <v>273.52999999999997</v>
      </c>
      <c r="J32" s="5">
        <v>230.92</v>
      </c>
      <c r="K32" t="str">
        <f t="shared" si="0"/>
        <v>West</v>
      </c>
      <c r="L32" s="7" t="str">
        <f t="shared" si="1"/>
        <v>Beverages</v>
      </c>
      <c r="M32" s="7">
        <f t="shared" si="2"/>
        <v>123</v>
      </c>
      <c r="N32" s="7">
        <f t="shared" si="3"/>
        <v>273.52999999999997</v>
      </c>
      <c r="O32">
        <f t="shared" si="4"/>
        <v>33644.189999999995</v>
      </c>
    </row>
    <row r="33" spans="1:15" ht="29.4" thickBot="1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5">
        <v>49</v>
      </c>
      <c r="I33" s="5">
        <v>249.17</v>
      </c>
      <c r="J33" s="5">
        <v>192.78</v>
      </c>
      <c r="K33" t="str">
        <f t="shared" si="0"/>
        <v>North</v>
      </c>
      <c r="L33" s="7" t="str">
        <f t="shared" si="1"/>
        <v>Beverages</v>
      </c>
      <c r="M33" s="7">
        <f t="shared" si="2"/>
        <v>49</v>
      </c>
      <c r="N33" s="7">
        <f t="shared" si="3"/>
        <v>249.17</v>
      </c>
      <c r="O33">
        <f t="shared" si="4"/>
        <v>12209.33</v>
      </c>
    </row>
    <row r="34" spans="1:15" ht="29.4" thickBot="1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5">
        <v>310</v>
      </c>
      <c r="I34" s="5">
        <v>45.36</v>
      </c>
      <c r="J34" s="5">
        <v>126.86</v>
      </c>
      <c r="K34" t="str">
        <f t="shared" si="0"/>
        <v>West</v>
      </c>
      <c r="L34" s="7" t="str">
        <f t="shared" si="1"/>
        <v>Beverages</v>
      </c>
      <c r="M34" s="7">
        <f t="shared" si="2"/>
        <v>310</v>
      </c>
      <c r="N34" s="7">
        <f t="shared" si="3"/>
        <v>45.36</v>
      </c>
      <c r="O34">
        <f t="shared" si="4"/>
        <v>14061.6</v>
      </c>
    </row>
    <row r="35" spans="1:15" ht="15" thickBot="1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5">
        <v>233</v>
      </c>
      <c r="I35" s="5">
        <v>204.61</v>
      </c>
      <c r="J35" s="5">
        <v>243.34</v>
      </c>
      <c r="K35" t="str">
        <f t="shared" si="0"/>
        <v>South</v>
      </c>
      <c r="L35" s="7" t="str">
        <f t="shared" si="1"/>
        <v>Clothing</v>
      </c>
      <c r="M35" s="7">
        <f t="shared" si="2"/>
        <v>233</v>
      </c>
      <c r="N35" s="7">
        <f t="shared" si="3"/>
        <v>204.61</v>
      </c>
      <c r="O35">
        <f t="shared" si="4"/>
        <v>47674.130000000005</v>
      </c>
    </row>
    <row r="36" spans="1:15" ht="15" thickBot="1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5">
        <v>327</v>
      </c>
      <c r="I36" s="5">
        <v>114.18</v>
      </c>
      <c r="J36" s="5">
        <v>57.4</v>
      </c>
      <c r="K36" t="str">
        <f t="shared" si="0"/>
        <v>South</v>
      </c>
      <c r="L36" s="7" t="str">
        <f t="shared" si="1"/>
        <v>Food</v>
      </c>
      <c r="M36" s="7">
        <f t="shared" si="2"/>
        <v>327</v>
      </c>
      <c r="N36" s="7">
        <f t="shared" si="3"/>
        <v>114.18</v>
      </c>
      <c r="O36">
        <f t="shared" si="4"/>
        <v>37336.86</v>
      </c>
    </row>
    <row r="37" spans="1:15" ht="29.4" thickBot="1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5">
        <v>358</v>
      </c>
      <c r="I37" s="5">
        <v>212.11</v>
      </c>
      <c r="J37" s="5">
        <v>359.51</v>
      </c>
      <c r="K37" t="str">
        <f t="shared" si="0"/>
        <v>North</v>
      </c>
      <c r="L37" s="7" t="str">
        <f t="shared" si="1"/>
        <v>Beverages</v>
      </c>
      <c r="M37" s="7">
        <f t="shared" si="2"/>
        <v>358</v>
      </c>
      <c r="N37" s="7">
        <f t="shared" si="3"/>
        <v>212.11</v>
      </c>
      <c r="O37">
        <f t="shared" si="4"/>
        <v>75935.38</v>
      </c>
    </row>
    <row r="38" spans="1:15" ht="15" thickBot="1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5">
        <v>124</v>
      </c>
      <c r="I38" s="3">
        <v>249.64519999999999</v>
      </c>
      <c r="J38" s="5">
        <v>332.07</v>
      </c>
      <c r="K38" t="str">
        <f t="shared" si="0"/>
        <v>West</v>
      </c>
      <c r="L38" s="7" t="str">
        <f t="shared" si="1"/>
        <v>Food</v>
      </c>
      <c r="M38" s="7">
        <f t="shared" si="2"/>
        <v>124</v>
      </c>
      <c r="N38" s="7">
        <f t="shared" si="3"/>
        <v>249.64519999999999</v>
      </c>
      <c r="O38">
        <f t="shared" si="4"/>
        <v>30956.004799999999</v>
      </c>
    </row>
    <row r="39" spans="1:15" ht="15" thickBot="1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5">
        <v>195</v>
      </c>
      <c r="I39" s="5">
        <v>421.02</v>
      </c>
      <c r="J39" s="5">
        <v>128.38</v>
      </c>
      <c r="K39" t="str">
        <f t="shared" si="0"/>
        <v>North</v>
      </c>
      <c r="L39" s="7" t="str">
        <f t="shared" si="1"/>
        <v>Clothing</v>
      </c>
      <c r="M39" s="7">
        <f t="shared" si="2"/>
        <v>195</v>
      </c>
      <c r="N39" s="7">
        <f t="shared" si="3"/>
        <v>421.02</v>
      </c>
      <c r="O39">
        <f t="shared" si="4"/>
        <v>82098.899999999994</v>
      </c>
    </row>
    <row r="40" spans="1:15" ht="15" thickBot="1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>
        <v>255.90289999999999</v>
      </c>
      <c r="I40" s="5">
        <v>91.23</v>
      </c>
      <c r="J40" s="5">
        <v>381.21</v>
      </c>
      <c r="K40" t="str">
        <f t="shared" si="0"/>
        <v>North</v>
      </c>
      <c r="L40" s="7" t="str">
        <f t="shared" si="1"/>
        <v>Clothing</v>
      </c>
      <c r="M40" s="7">
        <f>IF(H40="",AVERAGE($H$2:$H$351),H40)</f>
        <v>255.90289999999999</v>
      </c>
      <c r="N40" s="7">
        <f t="shared" si="3"/>
        <v>91.23</v>
      </c>
      <c r="O40">
        <f t="shared" si="4"/>
        <v>23346.021567</v>
      </c>
    </row>
    <row r="41" spans="1:15" ht="15" thickBot="1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5">
        <v>65</v>
      </c>
      <c r="I41" s="5">
        <v>480.59</v>
      </c>
      <c r="J41" s="5">
        <v>330.43</v>
      </c>
      <c r="K41" t="str">
        <f t="shared" si="0"/>
        <v>East</v>
      </c>
      <c r="L41" s="7" t="str">
        <f t="shared" si="1"/>
        <v>Food</v>
      </c>
      <c r="M41" s="7">
        <f t="shared" si="2"/>
        <v>65</v>
      </c>
      <c r="N41" s="7">
        <f t="shared" si="3"/>
        <v>480.59</v>
      </c>
      <c r="O41">
        <f t="shared" si="4"/>
        <v>31238.35</v>
      </c>
    </row>
    <row r="42" spans="1:15" ht="29.4" thickBot="1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5">
        <v>49</v>
      </c>
      <c r="I42" s="5">
        <v>210.87</v>
      </c>
      <c r="J42" s="5">
        <v>267.19</v>
      </c>
      <c r="K42" t="str">
        <f t="shared" si="0"/>
        <v>East</v>
      </c>
      <c r="L42" s="7" t="str">
        <f t="shared" si="1"/>
        <v>Electronics</v>
      </c>
      <c r="M42" s="7">
        <f t="shared" si="2"/>
        <v>49</v>
      </c>
      <c r="N42" s="7">
        <f t="shared" si="3"/>
        <v>210.87</v>
      </c>
      <c r="O42">
        <f t="shared" si="4"/>
        <v>10332.630000000001</v>
      </c>
    </row>
    <row r="43" spans="1:15" ht="15" thickBot="1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5">
        <v>363</v>
      </c>
      <c r="I43" s="5">
        <v>423.89</v>
      </c>
      <c r="J43" s="5">
        <v>50.46</v>
      </c>
      <c r="K43" t="str">
        <f t="shared" si="0"/>
        <v>East</v>
      </c>
      <c r="L43" s="7" t="str">
        <f t="shared" si="1"/>
        <v>Furniture</v>
      </c>
      <c r="M43" s="7">
        <f t="shared" si="2"/>
        <v>363</v>
      </c>
      <c r="N43" s="7">
        <f t="shared" si="3"/>
        <v>423.89</v>
      </c>
      <c r="O43">
        <f t="shared" si="4"/>
        <v>153872.07</v>
      </c>
    </row>
    <row r="44" spans="1:15" ht="29.4" thickBot="1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5">
        <v>49</v>
      </c>
      <c r="I44" s="5">
        <v>316.24</v>
      </c>
      <c r="J44" s="5">
        <v>192.34</v>
      </c>
      <c r="K44" t="str">
        <f t="shared" si="0"/>
        <v>South</v>
      </c>
      <c r="L44" s="7" t="str">
        <f t="shared" si="1"/>
        <v>Electronics</v>
      </c>
      <c r="M44" s="7">
        <f t="shared" si="2"/>
        <v>49</v>
      </c>
      <c r="N44" s="7">
        <f t="shared" si="3"/>
        <v>316.24</v>
      </c>
      <c r="O44">
        <f t="shared" si="4"/>
        <v>15495.76</v>
      </c>
    </row>
    <row r="45" spans="1:15" ht="29.4" thickBot="1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5">
        <v>356</v>
      </c>
      <c r="I45" s="5">
        <v>369</v>
      </c>
      <c r="J45" s="5">
        <v>203.43</v>
      </c>
      <c r="K45" t="str">
        <f t="shared" si="0"/>
        <v>West</v>
      </c>
      <c r="L45" s="7" t="str">
        <f t="shared" si="1"/>
        <v>Electronics</v>
      </c>
      <c r="M45" s="7">
        <f t="shared" si="2"/>
        <v>356</v>
      </c>
      <c r="N45" s="7">
        <f t="shared" si="3"/>
        <v>369</v>
      </c>
      <c r="O45">
        <f t="shared" si="4"/>
        <v>131364</v>
      </c>
    </row>
    <row r="46" spans="1:15" ht="29.4" thickBot="1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5">
        <v>470</v>
      </c>
      <c r="I46" s="3">
        <v>249.64519999999999</v>
      </c>
      <c r="J46" s="5">
        <v>94.56</v>
      </c>
      <c r="K46" t="str">
        <f t="shared" si="0"/>
        <v>West</v>
      </c>
      <c r="L46" s="7" t="str">
        <f t="shared" si="1"/>
        <v>Electronics</v>
      </c>
      <c r="M46" s="7">
        <f t="shared" si="2"/>
        <v>470</v>
      </c>
      <c r="N46" s="7">
        <f t="shared" si="3"/>
        <v>249.64519999999999</v>
      </c>
      <c r="O46">
        <f t="shared" si="4"/>
        <v>117333.24399999999</v>
      </c>
    </row>
    <row r="47" spans="1:15" ht="29.4" thickBot="1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5">
        <v>246</v>
      </c>
      <c r="I47" s="5">
        <v>254.9</v>
      </c>
      <c r="J47" s="5">
        <v>33.83</v>
      </c>
      <c r="K47" t="str">
        <f t="shared" si="0"/>
        <v>West</v>
      </c>
      <c r="L47" s="7" t="str">
        <f t="shared" si="1"/>
        <v>Beverages</v>
      </c>
      <c r="M47" s="7">
        <f t="shared" si="2"/>
        <v>246</v>
      </c>
      <c r="N47" s="7">
        <f t="shared" si="3"/>
        <v>254.9</v>
      </c>
      <c r="O47">
        <f t="shared" si="4"/>
        <v>62705.4</v>
      </c>
    </row>
    <row r="48" spans="1:15" ht="15" thickBot="1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5">
        <v>298</v>
      </c>
      <c r="I48" s="5">
        <v>273.93</v>
      </c>
      <c r="J48" s="5">
        <v>311.14</v>
      </c>
      <c r="K48" t="str">
        <f t="shared" si="0"/>
        <v>West</v>
      </c>
      <c r="L48" s="7" t="str">
        <f t="shared" si="1"/>
        <v>Clothing</v>
      </c>
      <c r="M48" s="7">
        <f t="shared" si="2"/>
        <v>298</v>
      </c>
      <c r="N48" s="7">
        <f t="shared" si="3"/>
        <v>273.93</v>
      </c>
      <c r="O48">
        <f t="shared" si="4"/>
        <v>81631.14</v>
      </c>
    </row>
    <row r="49" spans="1:15" ht="29.4" thickBot="1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5">
        <v>271</v>
      </c>
      <c r="I49" s="5">
        <v>259.43</v>
      </c>
      <c r="J49" s="5">
        <v>50.57</v>
      </c>
      <c r="K49" t="str">
        <f t="shared" si="0"/>
        <v>East</v>
      </c>
      <c r="L49" s="7" t="str">
        <f t="shared" si="1"/>
        <v>Electronics</v>
      </c>
      <c r="M49" s="7">
        <f t="shared" si="2"/>
        <v>271</v>
      </c>
      <c r="N49" s="7">
        <f t="shared" si="3"/>
        <v>259.43</v>
      </c>
      <c r="O49">
        <f t="shared" si="4"/>
        <v>70305.53</v>
      </c>
    </row>
    <row r="50" spans="1:15" ht="15" thickBot="1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5">
        <v>225</v>
      </c>
      <c r="I50" s="5">
        <v>296.08999999999997</v>
      </c>
      <c r="J50" s="5">
        <v>238.53</v>
      </c>
      <c r="K50" t="str">
        <f t="shared" si="0"/>
        <v>South</v>
      </c>
      <c r="L50" s="7" t="str">
        <f t="shared" si="1"/>
        <v>Clothing</v>
      </c>
      <c r="M50" s="7">
        <f t="shared" si="2"/>
        <v>225</v>
      </c>
      <c r="N50" s="7">
        <f t="shared" si="3"/>
        <v>296.08999999999997</v>
      </c>
      <c r="O50">
        <f t="shared" si="4"/>
        <v>66620.25</v>
      </c>
    </row>
    <row r="51" spans="1:15" ht="15" thickBot="1">
      <c r="A51" s="3" t="s">
        <v>78</v>
      </c>
      <c r="B51" s="3" t="s">
        <v>17</v>
      </c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5">
        <v>156</v>
      </c>
      <c r="I51" s="5">
        <v>19.55</v>
      </c>
      <c r="J51" s="5">
        <v>374.71</v>
      </c>
      <c r="K51" t="str">
        <f t="shared" si="0"/>
        <v>West</v>
      </c>
      <c r="L51" s="7" t="str">
        <f t="shared" si="1"/>
        <v>Food</v>
      </c>
      <c r="M51" s="7">
        <f t="shared" si="2"/>
        <v>156</v>
      </c>
      <c r="N51" s="7">
        <f t="shared" si="3"/>
        <v>19.55</v>
      </c>
      <c r="O51">
        <f t="shared" si="4"/>
        <v>3049.8</v>
      </c>
    </row>
    <row r="52" spans="1:15" ht="15" thickBot="1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5">
        <v>345</v>
      </c>
      <c r="I52" s="5">
        <v>200.78</v>
      </c>
      <c r="J52" s="5">
        <v>350.69</v>
      </c>
      <c r="K52" t="str">
        <f t="shared" si="0"/>
        <v>East</v>
      </c>
      <c r="L52" s="7" t="str">
        <f t="shared" si="1"/>
        <v>Furniture</v>
      </c>
      <c r="M52" s="7">
        <f t="shared" si="2"/>
        <v>345</v>
      </c>
      <c r="N52" s="7">
        <f t="shared" si="3"/>
        <v>200.78</v>
      </c>
      <c r="O52">
        <f t="shared" si="4"/>
        <v>69269.100000000006</v>
      </c>
    </row>
    <row r="53" spans="1:15" ht="15" thickBot="1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5">
        <v>177</v>
      </c>
      <c r="I53" s="5">
        <v>305.06</v>
      </c>
      <c r="J53" s="5">
        <v>112.55</v>
      </c>
      <c r="K53" t="str">
        <f t="shared" si="0"/>
        <v>South</v>
      </c>
      <c r="L53" s="7" t="str">
        <f t="shared" si="1"/>
        <v>Food</v>
      </c>
      <c r="M53" s="7">
        <f t="shared" si="2"/>
        <v>177</v>
      </c>
      <c r="N53" s="7">
        <f t="shared" si="3"/>
        <v>305.06</v>
      </c>
      <c r="O53">
        <f t="shared" si="4"/>
        <v>53995.62</v>
      </c>
    </row>
    <row r="54" spans="1:15" ht="15" thickBot="1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5">
        <v>101</v>
      </c>
      <c r="I54" s="5">
        <v>300.87</v>
      </c>
      <c r="J54" s="5">
        <v>340.88</v>
      </c>
      <c r="K54" t="str">
        <f t="shared" si="0"/>
        <v>East</v>
      </c>
      <c r="L54" s="7" t="str">
        <f t="shared" si="1"/>
        <v>Food</v>
      </c>
      <c r="M54" s="7">
        <f t="shared" si="2"/>
        <v>101</v>
      </c>
      <c r="N54" s="7">
        <f t="shared" si="3"/>
        <v>300.87</v>
      </c>
      <c r="O54">
        <f t="shared" si="4"/>
        <v>30387.87</v>
      </c>
    </row>
    <row r="55" spans="1:15" ht="29.4" thickBot="1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5">
        <v>362</v>
      </c>
      <c r="I55" s="5">
        <v>397.51</v>
      </c>
      <c r="J55" s="5">
        <v>2.13</v>
      </c>
      <c r="K55" t="str">
        <f t="shared" si="0"/>
        <v>West</v>
      </c>
      <c r="L55" s="7" t="str">
        <f t="shared" si="1"/>
        <v>Beverages</v>
      </c>
      <c r="M55" s="7">
        <f t="shared" si="2"/>
        <v>362</v>
      </c>
      <c r="N55" s="7">
        <f t="shared" si="3"/>
        <v>397.51</v>
      </c>
      <c r="O55">
        <f t="shared" si="4"/>
        <v>143898.62</v>
      </c>
    </row>
    <row r="56" spans="1:15" ht="15" thickBot="1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5">
        <v>68</v>
      </c>
      <c r="I56" s="5">
        <v>329.23</v>
      </c>
      <c r="J56" s="5">
        <v>9.0399999999999991</v>
      </c>
      <c r="K56" t="str">
        <f t="shared" si="0"/>
        <v>East</v>
      </c>
      <c r="L56" s="7" t="str">
        <f t="shared" si="1"/>
        <v>Furniture</v>
      </c>
      <c r="M56" s="7">
        <f t="shared" si="2"/>
        <v>68</v>
      </c>
      <c r="N56" s="7">
        <f t="shared" si="3"/>
        <v>329.23</v>
      </c>
      <c r="O56">
        <f t="shared" si="4"/>
        <v>22387.64</v>
      </c>
    </row>
    <row r="57" spans="1:15" ht="15" thickBot="1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5">
        <v>68</v>
      </c>
      <c r="I57" s="5">
        <v>496.11</v>
      </c>
      <c r="J57" s="5">
        <v>241.82</v>
      </c>
      <c r="K57" t="str">
        <f t="shared" si="0"/>
        <v>West</v>
      </c>
      <c r="L57" s="7" t="str">
        <f t="shared" si="1"/>
        <v>Food</v>
      </c>
      <c r="M57" s="7">
        <f t="shared" si="2"/>
        <v>68</v>
      </c>
      <c r="N57" s="7">
        <f t="shared" si="3"/>
        <v>496.11</v>
      </c>
      <c r="O57">
        <f t="shared" si="4"/>
        <v>33735.480000000003</v>
      </c>
    </row>
    <row r="58" spans="1:15" ht="15" thickBot="1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5">
        <v>313</v>
      </c>
      <c r="I58" s="5">
        <v>145.51</v>
      </c>
      <c r="J58" s="5">
        <v>147.19</v>
      </c>
      <c r="K58" t="str">
        <f t="shared" si="0"/>
        <v>West</v>
      </c>
      <c r="L58" s="7" t="str">
        <f t="shared" si="1"/>
        <v>Food</v>
      </c>
      <c r="M58" s="7">
        <f t="shared" si="2"/>
        <v>313</v>
      </c>
      <c r="N58" s="7">
        <f t="shared" si="3"/>
        <v>145.51</v>
      </c>
      <c r="O58">
        <f t="shared" si="4"/>
        <v>45544.63</v>
      </c>
    </row>
    <row r="59" spans="1:15" ht="15" thickBot="1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5">
        <v>178</v>
      </c>
      <c r="I59" s="5">
        <v>182.78</v>
      </c>
      <c r="J59" s="5">
        <v>155.81</v>
      </c>
      <c r="K59" t="str">
        <f t="shared" si="0"/>
        <v>North</v>
      </c>
      <c r="L59" s="7" t="str">
        <f t="shared" si="1"/>
        <v>Furniture</v>
      </c>
      <c r="M59" s="7">
        <f t="shared" si="2"/>
        <v>178</v>
      </c>
      <c r="N59" s="7">
        <f t="shared" si="3"/>
        <v>182.78</v>
      </c>
      <c r="O59">
        <f t="shared" si="4"/>
        <v>32534.84</v>
      </c>
    </row>
    <row r="60" spans="1:15" ht="15" thickBot="1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5">
        <v>278</v>
      </c>
      <c r="I60" s="5">
        <v>195</v>
      </c>
      <c r="J60" s="5">
        <v>226.65</v>
      </c>
      <c r="K60" t="str">
        <f t="shared" si="0"/>
        <v>East</v>
      </c>
      <c r="L60" s="7" t="str">
        <f t="shared" si="1"/>
        <v>Furniture</v>
      </c>
      <c r="M60" s="7">
        <f t="shared" si="2"/>
        <v>278</v>
      </c>
      <c r="N60" s="7">
        <f t="shared" si="3"/>
        <v>195</v>
      </c>
      <c r="O60">
        <f t="shared" si="4"/>
        <v>54210</v>
      </c>
    </row>
    <row r="61" spans="1:15" ht="15" thickBot="1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5">
        <v>372</v>
      </c>
      <c r="I61" s="5">
        <v>235.58</v>
      </c>
      <c r="J61" s="5">
        <v>78.33</v>
      </c>
      <c r="K61" t="str">
        <f t="shared" si="0"/>
        <v>North</v>
      </c>
      <c r="L61" s="7" t="str">
        <f t="shared" si="1"/>
        <v>Food</v>
      </c>
      <c r="M61" s="7">
        <f t="shared" si="2"/>
        <v>372</v>
      </c>
      <c r="N61" s="7">
        <f t="shared" si="3"/>
        <v>235.58</v>
      </c>
      <c r="O61">
        <f t="shared" si="4"/>
        <v>87635.760000000009</v>
      </c>
    </row>
    <row r="62" spans="1:15" ht="15" thickBot="1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5">
        <v>54</v>
      </c>
      <c r="I62" s="5">
        <v>418.82</v>
      </c>
      <c r="J62" s="5">
        <v>86.28</v>
      </c>
      <c r="K62" t="str">
        <f t="shared" si="0"/>
        <v>East</v>
      </c>
      <c r="L62" s="7" t="str">
        <f t="shared" si="1"/>
        <v>Furniture</v>
      </c>
      <c r="M62" s="7">
        <f t="shared" si="2"/>
        <v>54</v>
      </c>
      <c r="N62" s="7">
        <f t="shared" si="3"/>
        <v>418.82</v>
      </c>
      <c r="O62">
        <f t="shared" si="4"/>
        <v>22616.28</v>
      </c>
    </row>
    <row r="63" spans="1:15" ht="15" thickBot="1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5">
        <v>354</v>
      </c>
      <c r="I63" s="5">
        <v>121.72</v>
      </c>
      <c r="J63" s="5">
        <v>194.87</v>
      </c>
      <c r="K63" t="str">
        <f t="shared" si="0"/>
        <v>East</v>
      </c>
      <c r="L63" s="7" t="str">
        <f t="shared" si="1"/>
        <v>Food</v>
      </c>
      <c r="M63" s="7">
        <f t="shared" si="2"/>
        <v>354</v>
      </c>
      <c r="N63" s="7">
        <f t="shared" si="3"/>
        <v>121.72</v>
      </c>
      <c r="O63">
        <f t="shared" si="4"/>
        <v>43088.88</v>
      </c>
    </row>
    <row r="64" spans="1:15" ht="15" thickBot="1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5">
        <v>190</v>
      </c>
      <c r="I64" s="5">
        <v>389.12</v>
      </c>
      <c r="J64" s="5">
        <v>302.19</v>
      </c>
      <c r="K64" t="str">
        <f t="shared" si="0"/>
        <v>North</v>
      </c>
      <c r="L64" s="7" t="str">
        <f t="shared" si="1"/>
        <v>Food</v>
      </c>
      <c r="M64" s="7">
        <f t="shared" si="2"/>
        <v>190</v>
      </c>
      <c r="N64" s="7">
        <f t="shared" si="3"/>
        <v>389.12</v>
      </c>
      <c r="O64">
        <f t="shared" si="4"/>
        <v>73932.800000000003</v>
      </c>
    </row>
    <row r="65" spans="1:15" ht="29.4" thickBot="1">
      <c r="A65" s="3" t="s">
        <v>92</v>
      </c>
      <c r="B65" s="3" t="s">
        <v>17</v>
      </c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5">
        <v>179</v>
      </c>
      <c r="I65" s="5">
        <v>205.63</v>
      </c>
      <c r="J65" s="5">
        <v>248.56</v>
      </c>
      <c r="K65" t="str">
        <f t="shared" si="0"/>
        <v>West</v>
      </c>
      <c r="L65" s="7" t="str">
        <f t="shared" si="1"/>
        <v>Beverages</v>
      </c>
      <c r="M65" s="7">
        <f t="shared" si="2"/>
        <v>179</v>
      </c>
      <c r="N65" s="7">
        <f t="shared" si="3"/>
        <v>205.63</v>
      </c>
      <c r="O65">
        <f t="shared" si="4"/>
        <v>36807.769999999997</v>
      </c>
    </row>
    <row r="66" spans="1:15" ht="29.4" thickBot="1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5">
        <v>365</v>
      </c>
      <c r="I66" s="5">
        <v>302.92</v>
      </c>
      <c r="J66" s="5">
        <v>120.35</v>
      </c>
      <c r="K66" t="str">
        <f t="shared" si="0"/>
        <v>East</v>
      </c>
      <c r="L66" s="7" t="str">
        <f t="shared" si="1"/>
        <v>Electronics</v>
      </c>
      <c r="M66" s="7">
        <f t="shared" si="2"/>
        <v>365</v>
      </c>
      <c r="N66" s="7">
        <f t="shared" si="3"/>
        <v>302.92</v>
      </c>
      <c r="O66">
        <f t="shared" si="4"/>
        <v>110565.8</v>
      </c>
    </row>
    <row r="67" spans="1:15" ht="15" thickBot="1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5">
        <v>200</v>
      </c>
      <c r="I67" s="5">
        <v>318.11</v>
      </c>
      <c r="J67" s="5">
        <v>173.27</v>
      </c>
      <c r="K67" t="str">
        <f t="shared" ref="K67:L130" si="5">IF(B67="", "West", B67:B416)</f>
        <v>South</v>
      </c>
      <c r="L67" s="7" t="str">
        <f t="shared" ref="L67:L130" si="6">IF(D67="", "Beverages", D67)</f>
        <v>Food</v>
      </c>
      <c r="M67" s="7">
        <f t="shared" ref="M67:M130" si="7">IF(H67="",AVERAGE($H$2:$H$351),H67)</f>
        <v>200</v>
      </c>
      <c r="N67" s="7">
        <f t="shared" ref="N67:N130" si="8">IF(I67="",AVERAGE($I$2:$I$351),I67)</f>
        <v>318.11</v>
      </c>
      <c r="O67">
        <f t="shared" ref="O67:O130" si="9">H67*I67</f>
        <v>63622</v>
      </c>
    </row>
    <row r="68" spans="1:15" ht="15" thickBot="1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5">
        <v>164</v>
      </c>
      <c r="I68" s="5">
        <v>189.56</v>
      </c>
      <c r="J68" s="5">
        <v>69.92</v>
      </c>
      <c r="K68" t="str">
        <f t="shared" si="5"/>
        <v>West</v>
      </c>
      <c r="L68" s="7" t="str">
        <f t="shared" si="6"/>
        <v>Clothing</v>
      </c>
      <c r="M68" s="7">
        <f t="shared" si="7"/>
        <v>164</v>
      </c>
      <c r="N68" s="7">
        <f t="shared" si="8"/>
        <v>189.56</v>
      </c>
      <c r="O68">
        <f t="shared" si="9"/>
        <v>31087.84</v>
      </c>
    </row>
    <row r="69" spans="1:15" ht="29.4" thickBot="1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5">
        <v>431</v>
      </c>
      <c r="I69" s="5">
        <v>258.74</v>
      </c>
      <c r="J69" s="5">
        <v>31.7</v>
      </c>
      <c r="K69" t="str">
        <f t="shared" si="5"/>
        <v>North</v>
      </c>
      <c r="L69" s="7" t="str">
        <f t="shared" si="6"/>
        <v>Electronics</v>
      </c>
      <c r="M69" s="7">
        <f t="shared" si="7"/>
        <v>431</v>
      </c>
      <c r="N69" s="7">
        <f t="shared" si="8"/>
        <v>258.74</v>
      </c>
      <c r="O69">
        <f t="shared" si="9"/>
        <v>111516.94</v>
      </c>
    </row>
    <row r="70" spans="1:15" ht="29.4" thickBot="1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5">
        <v>197</v>
      </c>
      <c r="I70" s="5">
        <v>209.45</v>
      </c>
      <c r="J70" s="5">
        <v>313.51</v>
      </c>
      <c r="K70" t="str">
        <f t="shared" si="5"/>
        <v>West</v>
      </c>
      <c r="L70" s="7" t="str">
        <f t="shared" si="6"/>
        <v>Electronics</v>
      </c>
      <c r="M70" s="7">
        <f t="shared" si="7"/>
        <v>197</v>
      </c>
      <c r="N70" s="7">
        <f t="shared" si="8"/>
        <v>209.45</v>
      </c>
      <c r="O70">
        <f t="shared" si="9"/>
        <v>41261.649999999994</v>
      </c>
    </row>
    <row r="71" spans="1:15" ht="29.4" thickBot="1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5">
        <v>16</v>
      </c>
      <c r="I71" s="5">
        <v>39.22</v>
      </c>
      <c r="J71" s="5">
        <v>107.62</v>
      </c>
      <c r="K71" t="str">
        <f t="shared" si="5"/>
        <v>South</v>
      </c>
      <c r="L71" s="7" t="str">
        <f t="shared" si="6"/>
        <v>Electronics</v>
      </c>
      <c r="M71" s="7">
        <f t="shared" si="7"/>
        <v>16</v>
      </c>
      <c r="N71" s="7">
        <f t="shared" si="8"/>
        <v>39.22</v>
      </c>
      <c r="O71">
        <f t="shared" si="9"/>
        <v>627.52</v>
      </c>
    </row>
    <row r="72" spans="1:15" ht="29.4" thickBot="1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5">
        <v>142</v>
      </c>
      <c r="I72" s="5">
        <v>221.4</v>
      </c>
      <c r="J72" s="5">
        <v>72.75</v>
      </c>
      <c r="K72" t="str">
        <f t="shared" si="5"/>
        <v>South</v>
      </c>
      <c r="L72" s="7" t="str">
        <f t="shared" si="6"/>
        <v>Beverages</v>
      </c>
      <c r="M72" s="7">
        <f t="shared" si="7"/>
        <v>142</v>
      </c>
      <c r="N72" s="7">
        <f t="shared" si="8"/>
        <v>221.4</v>
      </c>
      <c r="O72">
        <f t="shared" si="9"/>
        <v>31438.799999999999</v>
      </c>
    </row>
    <row r="73" spans="1:15" ht="15" thickBot="1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5">
        <v>244</v>
      </c>
      <c r="I73" s="5">
        <v>53.21</v>
      </c>
      <c r="J73" s="5">
        <v>277.26</v>
      </c>
      <c r="K73" t="str">
        <f t="shared" si="5"/>
        <v>South</v>
      </c>
      <c r="L73" s="7" t="str">
        <f t="shared" si="6"/>
        <v>Food</v>
      </c>
      <c r="M73" s="7">
        <f t="shared" si="7"/>
        <v>244</v>
      </c>
      <c r="N73" s="7">
        <f t="shared" si="8"/>
        <v>53.21</v>
      </c>
      <c r="O73">
        <f t="shared" si="9"/>
        <v>12983.24</v>
      </c>
    </row>
    <row r="74" spans="1:15" ht="29.4" thickBot="1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5">
        <v>54</v>
      </c>
      <c r="I74" s="5">
        <v>205.49</v>
      </c>
      <c r="J74" s="5">
        <v>247.98</v>
      </c>
      <c r="K74" t="str">
        <f t="shared" si="5"/>
        <v>North</v>
      </c>
      <c r="L74" s="7" t="str">
        <f t="shared" si="6"/>
        <v>Beverages</v>
      </c>
      <c r="M74" s="7">
        <f t="shared" si="7"/>
        <v>54</v>
      </c>
      <c r="N74" s="7">
        <f t="shared" si="8"/>
        <v>205.49</v>
      </c>
      <c r="O74">
        <f t="shared" si="9"/>
        <v>11096.460000000001</v>
      </c>
    </row>
    <row r="75" spans="1:15" ht="15" thickBot="1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5">
        <v>323</v>
      </c>
      <c r="I75" s="5">
        <v>298.49</v>
      </c>
      <c r="J75" s="5">
        <v>254.01</v>
      </c>
      <c r="K75" t="str">
        <f t="shared" si="5"/>
        <v>South</v>
      </c>
      <c r="L75" s="7" t="str">
        <f t="shared" si="6"/>
        <v>Food</v>
      </c>
      <c r="M75" s="7">
        <f t="shared" si="7"/>
        <v>323</v>
      </c>
      <c r="N75" s="7">
        <f t="shared" si="8"/>
        <v>298.49</v>
      </c>
      <c r="O75">
        <f t="shared" si="9"/>
        <v>96412.27</v>
      </c>
    </row>
    <row r="76" spans="1:15" ht="29.4" thickBot="1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5">
        <v>258</v>
      </c>
      <c r="I76" s="5">
        <v>291.81</v>
      </c>
      <c r="J76" s="5">
        <v>93.1</v>
      </c>
      <c r="K76" t="str">
        <f t="shared" si="5"/>
        <v>North</v>
      </c>
      <c r="L76" s="7" t="str">
        <f t="shared" si="6"/>
        <v>Beverages</v>
      </c>
      <c r="M76" s="7">
        <f t="shared" si="7"/>
        <v>258</v>
      </c>
      <c r="N76" s="7">
        <f t="shared" si="8"/>
        <v>291.81</v>
      </c>
      <c r="O76">
        <f t="shared" si="9"/>
        <v>75286.98</v>
      </c>
    </row>
    <row r="77" spans="1:15" ht="29.4" thickBot="1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5">
        <v>40</v>
      </c>
      <c r="I77" s="5">
        <v>333</v>
      </c>
      <c r="J77" s="5">
        <v>94.59</v>
      </c>
      <c r="K77" t="str">
        <f t="shared" si="5"/>
        <v>South</v>
      </c>
      <c r="L77" s="7" t="str">
        <f t="shared" si="6"/>
        <v>Beverages</v>
      </c>
      <c r="M77" s="7">
        <f t="shared" si="7"/>
        <v>40</v>
      </c>
      <c r="N77" s="7">
        <f t="shared" si="8"/>
        <v>333</v>
      </c>
      <c r="O77">
        <f t="shared" si="9"/>
        <v>13320</v>
      </c>
    </row>
    <row r="78" spans="1:15" ht="15" thickBot="1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5">
        <v>32</v>
      </c>
      <c r="I78" s="5">
        <v>52.15</v>
      </c>
      <c r="J78" s="5">
        <v>89.88</v>
      </c>
      <c r="K78" t="str">
        <f t="shared" si="5"/>
        <v>West</v>
      </c>
      <c r="L78" s="7" t="str">
        <f t="shared" si="6"/>
        <v>Clothing</v>
      </c>
      <c r="M78" s="7">
        <f t="shared" si="7"/>
        <v>32</v>
      </c>
      <c r="N78" s="7">
        <f t="shared" si="8"/>
        <v>52.15</v>
      </c>
      <c r="O78">
        <f t="shared" si="9"/>
        <v>1668.8</v>
      </c>
    </row>
    <row r="79" spans="1:15" ht="29.4" thickBot="1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5">
        <v>435</v>
      </c>
      <c r="I79" s="5">
        <v>327.8</v>
      </c>
      <c r="J79" s="5">
        <v>71.150000000000006</v>
      </c>
      <c r="K79" t="str">
        <f t="shared" si="5"/>
        <v>West</v>
      </c>
      <c r="L79" s="7" t="str">
        <f t="shared" si="6"/>
        <v>Beverages</v>
      </c>
      <c r="M79" s="7">
        <f t="shared" si="7"/>
        <v>435</v>
      </c>
      <c r="N79" s="7">
        <f t="shared" si="8"/>
        <v>327.8</v>
      </c>
      <c r="O79">
        <f t="shared" si="9"/>
        <v>142593</v>
      </c>
    </row>
    <row r="80" spans="1:15" ht="15" thickBot="1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5">
        <v>403</v>
      </c>
      <c r="I80" s="5">
        <v>159.51</v>
      </c>
      <c r="J80" s="5">
        <v>262.98</v>
      </c>
      <c r="K80" t="str">
        <f t="shared" si="5"/>
        <v>East</v>
      </c>
      <c r="L80" s="7" t="str">
        <f t="shared" si="6"/>
        <v>Furniture</v>
      </c>
      <c r="M80" s="7">
        <f t="shared" si="7"/>
        <v>403</v>
      </c>
      <c r="N80" s="7">
        <f t="shared" si="8"/>
        <v>159.51</v>
      </c>
      <c r="O80">
        <f t="shared" si="9"/>
        <v>64282.53</v>
      </c>
    </row>
    <row r="81" spans="1:15" ht="15" thickBot="1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5">
        <v>169</v>
      </c>
      <c r="I81" s="3">
        <v>249.64519999999999</v>
      </c>
      <c r="J81" s="5">
        <v>339.51</v>
      </c>
      <c r="K81" t="str">
        <f t="shared" si="5"/>
        <v>West</v>
      </c>
      <c r="L81" s="7" t="str">
        <f t="shared" si="6"/>
        <v>Clothing</v>
      </c>
      <c r="M81" s="7">
        <f t="shared" si="7"/>
        <v>169</v>
      </c>
      <c r="N81" s="7">
        <f t="shared" si="8"/>
        <v>249.64519999999999</v>
      </c>
      <c r="O81">
        <f t="shared" si="9"/>
        <v>42190.038799999995</v>
      </c>
    </row>
    <row r="82" spans="1:15" ht="29.4" thickBot="1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5">
        <v>372</v>
      </c>
      <c r="I82" s="5">
        <v>429.7</v>
      </c>
      <c r="J82" s="5">
        <v>290.27999999999997</v>
      </c>
      <c r="K82" t="str">
        <f t="shared" si="5"/>
        <v>East</v>
      </c>
      <c r="L82" s="7" t="str">
        <f t="shared" si="6"/>
        <v>Beverages</v>
      </c>
      <c r="M82" s="7">
        <f t="shared" si="7"/>
        <v>372</v>
      </c>
      <c r="N82" s="7">
        <f t="shared" si="8"/>
        <v>429.7</v>
      </c>
      <c r="O82">
        <f t="shared" si="9"/>
        <v>159848.4</v>
      </c>
    </row>
    <row r="83" spans="1:15" ht="29.4" thickBot="1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5">
        <v>446</v>
      </c>
      <c r="I83" s="5">
        <v>9.4700000000000006</v>
      </c>
      <c r="J83" s="5">
        <v>317.25</v>
      </c>
      <c r="K83" t="str">
        <f t="shared" si="5"/>
        <v>West</v>
      </c>
      <c r="L83" s="7" t="str">
        <f t="shared" si="6"/>
        <v>Electronics</v>
      </c>
      <c r="M83" s="7">
        <f t="shared" si="7"/>
        <v>446</v>
      </c>
      <c r="N83" s="7">
        <f t="shared" si="8"/>
        <v>9.4700000000000006</v>
      </c>
      <c r="O83">
        <f t="shared" si="9"/>
        <v>4223.62</v>
      </c>
    </row>
    <row r="84" spans="1:15" ht="15" thickBot="1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5">
        <v>167</v>
      </c>
      <c r="I84" s="5">
        <v>296.26</v>
      </c>
      <c r="J84" s="5">
        <v>163.11000000000001</v>
      </c>
      <c r="K84" t="str">
        <f t="shared" si="5"/>
        <v>North</v>
      </c>
      <c r="L84" s="7" t="str">
        <f t="shared" si="6"/>
        <v>Furniture</v>
      </c>
      <c r="M84" s="7">
        <f t="shared" si="7"/>
        <v>167</v>
      </c>
      <c r="N84" s="7">
        <f t="shared" si="8"/>
        <v>296.26</v>
      </c>
      <c r="O84">
        <f t="shared" si="9"/>
        <v>49475.42</v>
      </c>
    </row>
    <row r="85" spans="1:15" ht="15" thickBot="1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5">
        <v>48</v>
      </c>
      <c r="I85" s="5">
        <v>301.36</v>
      </c>
      <c r="J85" s="5">
        <v>262.32</v>
      </c>
      <c r="K85" t="str">
        <f t="shared" si="5"/>
        <v>West</v>
      </c>
      <c r="L85" s="7" t="str">
        <f t="shared" si="6"/>
        <v>Furniture</v>
      </c>
      <c r="M85" s="7">
        <f t="shared" si="7"/>
        <v>48</v>
      </c>
      <c r="N85" s="7">
        <f t="shared" si="8"/>
        <v>301.36</v>
      </c>
      <c r="O85">
        <f t="shared" si="9"/>
        <v>14465.28</v>
      </c>
    </row>
    <row r="86" spans="1:15" ht="15" thickBot="1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5">
        <v>424</v>
      </c>
      <c r="I86" s="5">
        <v>201.35</v>
      </c>
      <c r="J86" s="5">
        <v>142.99</v>
      </c>
      <c r="K86" t="str">
        <f t="shared" si="5"/>
        <v>East</v>
      </c>
      <c r="L86" s="7" t="str">
        <f t="shared" si="6"/>
        <v>Furniture</v>
      </c>
      <c r="M86" s="7">
        <f t="shared" si="7"/>
        <v>424</v>
      </c>
      <c r="N86" s="7">
        <f t="shared" si="8"/>
        <v>201.35</v>
      </c>
      <c r="O86">
        <f t="shared" si="9"/>
        <v>85372.4</v>
      </c>
    </row>
    <row r="87" spans="1:15" ht="15" thickBot="1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5">
        <v>91</v>
      </c>
      <c r="I87" s="5">
        <v>122.33</v>
      </c>
      <c r="J87" s="5">
        <v>211.15</v>
      </c>
      <c r="K87" t="str">
        <f t="shared" si="5"/>
        <v>East</v>
      </c>
      <c r="L87" s="7" t="str">
        <f t="shared" si="6"/>
        <v>Clothing</v>
      </c>
      <c r="M87" s="7">
        <f t="shared" si="7"/>
        <v>91</v>
      </c>
      <c r="N87" s="7">
        <f t="shared" si="8"/>
        <v>122.33</v>
      </c>
      <c r="O87">
        <f t="shared" si="9"/>
        <v>11132.03</v>
      </c>
    </row>
    <row r="88" spans="1:15" ht="29.4" thickBot="1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5">
        <v>365</v>
      </c>
      <c r="I88" s="5">
        <v>121.16</v>
      </c>
      <c r="J88" s="5">
        <v>193.69</v>
      </c>
      <c r="K88" t="str">
        <f t="shared" si="5"/>
        <v>South</v>
      </c>
      <c r="L88" s="7" t="str">
        <f t="shared" si="6"/>
        <v>Beverages</v>
      </c>
      <c r="M88" s="7">
        <f t="shared" si="7"/>
        <v>365</v>
      </c>
      <c r="N88" s="7">
        <f t="shared" si="8"/>
        <v>121.16</v>
      </c>
      <c r="O88">
        <f t="shared" si="9"/>
        <v>44223.4</v>
      </c>
    </row>
    <row r="89" spans="1:15" ht="29.4" thickBot="1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5">
        <v>267</v>
      </c>
      <c r="I89" s="5">
        <v>442.44</v>
      </c>
      <c r="J89" s="5">
        <v>72.400000000000006</v>
      </c>
      <c r="K89" t="str">
        <f t="shared" si="5"/>
        <v>North</v>
      </c>
      <c r="L89" s="7" t="str">
        <f t="shared" si="6"/>
        <v>Beverages</v>
      </c>
      <c r="M89" s="7">
        <f t="shared" si="7"/>
        <v>267</v>
      </c>
      <c r="N89" s="7">
        <f t="shared" si="8"/>
        <v>442.44</v>
      </c>
      <c r="O89">
        <f t="shared" si="9"/>
        <v>118131.48</v>
      </c>
    </row>
    <row r="90" spans="1:15" ht="29.4" thickBot="1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5">
        <v>215</v>
      </c>
      <c r="I90" s="5">
        <v>223.8</v>
      </c>
      <c r="J90" s="5">
        <v>156.06</v>
      </c>
      <c r="K90" t="str">
        <f t="shared" si="5"/>
        <v>West</v>
      </c>
      <c r="L90" s="7" t="str">
        <f t="shared" si="6"/>
        <v>Electronics</v>
      </c>
      <c r="M90" s="7">
        <f t="shared" si="7"/>
        <v>215</v>
      </c>
      <c r="N90" s="7">
        <f t="shared" si="8"/>
        <v>223.8</v>
      </c>
      <c r="O90">
        <f t="shared" si="9"/>
        <v>48117</v>
      </c>
    </row>
    <row r="91" spans="1:15" ht="29.4" thickBot="1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5">
        <v>86</v>
      </c>
      <c r="I91" s="5">
        <v>168.79</v>
      </c>
      <c r="J91" s="5">
        <v>385.6</v>
      </c>
      <c r="K91" t="str">
        <f t="shared" si="5"/>
        <v>South</v>
      </c>
      <c r="L91" s="7" t="str">
        <f t="shared" si="6"/>
        <v>Electronics</v>
      </c>
      <c r="M91" s="7">
        <f t="shared" si="7"/>
        <v>86</v>
      </c>
      <c r="N91" s="7">
        <f t="shared" si="8"/>
        <v>168.79</v>
      </c>
      <c r="O91">
        <f t="shared" si="9"/>
        <v>14515.939999999999</v>
      </c>
    </row>
    <row r="92" spans="1:15" ht="15" thickBot="1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5">
        <v>486</v>
      </c>
      <c r="I92" s="5">
        <v>227.14</v>
      </c>
      <c r="J92" s="5">
        <v>100.93</v>
      </c>
      <c r="K92" t="str">
        <f t="shared" si="5"/>
        <v>West</v>
      </c>
      <c r="L92" s="7" t="str">
        <f t="shared" si="6"/>
        <v>Furniture</v>
      </c>
      <c r="M92" s="7">
        <f t="shared" si="7"/>
        <v>486</v>
      </c>
      <c r="N92" s="7">
        <f t="shared" si="8"/>
        <v>227.14</v>
      </c>
      <c r="O92">
        <f t="shared" si="9"/>
        <v>110390.04</v>
      </c>
    </row>
    <row r="93" spans="1:15" ht="29.4" thickBot="1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5">
        <v>21</v>
      </c>
      <c r="I93" s="3">
        <v>249.64519999999999</v>
      </c>
      <c r="J93" s="5">
        <v>55.25</v>
      </c>
      <c r="K93" t="str">
        <f t="shared" si="5"/>
        <v>West</v>
      </c>
      <c r="L93" s="7" t="str">
        <f t="shared" si="6"/>
        <v>Electronics</v>
      </c>
      <c r="M93" s="7">
        <f t="shared" si="7"/>
        <v>21</v>
      </c>
      <c r="N93" s="7">
        <f t="shared" si="8"/>
        <v>249.64519999999999</v>
      </c>
      <c r="O93">
        <f t="shared" si="9"/>
        <v>5242.5491999999995</v>
      </c>
    </row>
    <row r="94" spans="1:15" ht="15" thickBot="1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5">
        <v>304</v>
      </c>
      <c r="I94" s="5">
        <v>77.150000000000006</v>
      </c>
      <c r="J94" s="5">
        <v>168.6</v>
      </c>
      <c r="K94" t="str">
        <f t="shared" si="5"/>
        <v>South</v>
      </c>
      <c r="L94" s="7" t="str">
        <f t="shared" si="6"/>
        <v>Clothing</v>
      </c>
      <c r="M94" s="7">
        <f t="shared" si="7"/>
        <v>304</v>
      </c>
      <c r="N94" s="7">
        <f t="shared" si="8"/>
        <v>77.150000000000006</v>
      </c>
      <c r="O94">
        <f t="shared" si="9"/>
        <v>23453.600000000002</v>
      </c>
    </row>
    <row r="95" spans="1:15" ht="29.4" thickBot="1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5">
        <v>459</v>
      </c>
      <c r="I95" s="5">
        <v>227.47</v>
      </c>
      <c r="J95" s="5">
        <v>316.55</v>
      </c>
      <c r="K95" t="str">
        <f t="shared" si="5"/>
        <v>South</v>
      </c>
      <c r="L95" s="7" t="str">
        <f t="shared" si="6"/>
        <v>Beverages</v>
      </c>
      <c r="M95" s="7">
        <f t="shared" si="7"/>
        <v>459</v>
      </c>
      <c r="N95" s="7">
        <f t="shared" si="8"/>
        <v>227.47</v>
      </c>
      <c r="O95">
        <f t="shared" si="9"/>
        <v>104408.73</v>
      </c>
    </row>
    <row r="96" spans="1:15" ht="15" thickBot="1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5">
        <v>233</v>
      </c>
      <c r="I96" s="5">
        <v>296</v>
      </c>
      <c r="J96" s="5">
        <v>233.69</v>
      </c>
      <c r="K96" t="str">
        <f t="shared" si="5"/>
        <v>South</v>
      </c>
      <c r="L96" s="7" t="str">
        <f t="shared" si="6"/>
        <v>Furniture</v>
      </c>
      <c r="M96" s="7">
        <f t="shared" si="7"/>
        <v>233</v>
      </c>
      <c r="N96" s="7">
        <f t="shared" si="8"/>
        <v>296</v>
      </c>
      <c r="O96">
        <f t="shared" si="9"/>
        <v>68968</v>
      </c>
    </row>
    <row r="97" spans="1:15" ht="29.4" thickBot="1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5">
        <v>22</v>
      </c>
      <c r="I97" s="5">
        <v>474.55</v>
      </c>
      <c r="J97" s="5">
        <v>273.02999999999997</v>
      </c>
      <c r="K97" t="str">
        <f t="shared" si="5"/>
        <v>South</v>
      </c>
      <c r="L97" s="7" t="str">
        <f t="shared" si="6"/>
        <v>Electronics</v>
      </c>
      <c r="M97" s="7">
        <f t="shared" si="7"/>
        <v>22</v>
      </c>
      <c r="N97" s="7">
        <f t="shared" si="8"/>
        <v>474.55</v>
      </c>
      <c r="O97">
        <f t="shared" si="9"/>
        <v>10440.1</v>
      </c>
    </row>
    <row r="98" spans="1:15" ht="15" thickBot="1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5">
        <v>55</v>
      </c>
      <c r="I98" s="5">
        <v>130</v>
      </c>
      <c r="J98" s="5">
        <v>77.5</v>
      </c>
      <c r="K98" t="str">
        <f t="shared" si="5"/>
        <v>South</v>
      </c>
      <c r="L98" s="7" t="str">
        <f t="shared" si="6"/>
        <v>Clothing</v>
      </c>
      <c r="M98" s="7">
        <f t="shared" si="7"/>
        <v>55</v>
      </c>
      <c r="N98" s="7">
        <f t="shared" si="8"/>
        <v>130</v>
      </c>
      <c r="O98">
        <f t="shared" si="9"/>
        <v>7150</v>
      </c>
    </row>
    <row r="99" spans="1:15" ht="15" thickBot="1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5">
        <v>164</v>
      </c>
      <c r="I99" s="5">
        <v>182.83</v>
      </c>
      <c r="J99" s="5">
        <v>248.34</v>
      </c>
      <c r="K99" t="str">
        <f t="shared" si="5"/>
        <v>West</v>
      </c>
      <c r="L99" s="7" t="str">
        <f t="shared" si="6"/>
        <v>Clothing</v>
      </c>
      <c r="M99" s="7">
        <f t="shared" si="7"/>
        <v>164</v>
      </c>
      <c r="N99" s="7">
        <f t="shared" si="8"/>
        <v>182.83</v>
      </c>
      <c r="O99">
        <f t="shared" si="9"/>
        <v>29984.120000000003</v>
      </c>
    </row>
    <row r="100" spans="1:15" ht="29.4" thickBot="1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5">
        <v>122</v>
      </c>
      <c r="I100" s="5">
        <v>192.78</v>
      </c>
      <c r="J100" s="5">
        <v>130.75</v>
      </c>
      <c r="K100" t="str">
        <f t="shared" si="5"/>
        <v>South</v>
      </c>
      <c r="L100" s="7" t="str">
        <f t="shared" si="6"/>
        <v>Electronics</v>
      </c>
      <c r="M100" s="7">
        <f t="shared" si="7"/>
        <v>122</v>
      </c>
      <c r="N100" s="7">
        <f t="shared" si="8"/>
        <v>192.78</v>
      </c>
      <c r="O100">
        <f t="shared" si="9"/>
        <v>23519.16</v>
      </c>
    </row>
    <row r="101" spans="1:15" ht="29.4" thickBot="1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5">
        <v>242</v>
      </c>
      <c r="I101" s="5">
        <v>304.74</v>
      </c>
      <c r="J101" s="5">
        <v>334.05</v>
      </c>
      <c r="K101" t="str">
        <f t="shared" si="5"/>
        <v>North</v>
      </c>
      <c r="L101" s="7" t="str">
        <f t="shared" si="6"/>
        <v>Beverages</v>
      </c>
      <c r="M101" s="7">
        <f t="shared" si="7"/>
        <v>242</v>
      </c>
      <c r="N101" s="7">
        <f t="shared" si="8"/>
        <v>304.74</v>
      </c>
      <c r="O101">
        <f t="shared" si="9"/>
        <v>73747.08</v>
      </c>
    </row>
    <row r="102" spans="1:15" ht="29.4" thickBot="1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5">
        <v>26</v>
      </c>
      <c r="I102" s="5">
        <v>181.58</v>
      </c>
      <c r="J102" s="5">
        <v>252.46</v>
      </c>
      <c r="K102" t="str">
        <f t="shared" si="5"/>
        <v>East</v>
      </c>
      <c r="L102" s="7" t="str">
        <f t="shared" si="6"/>
        <v>Electronics</v>
      </c>
      <c r="M102" s="7">
        <f t="shared" si="7"/>
        <v>26</v>
      </c>
      <c r="N102" s="7">
        <f t="shared" si="8"/>
        <v>181.58</v>
      </c>
      <c r="O102">
        <f t="shared" si="9"/>
        <v>4721.08</v>
      </c>
    </row>
    <row r="103" spans="1:15" ht="15" thickBot="1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5">
        <v>369</v>
      </c>
      <c r="I103" s="5">
        <v>269.08999999999997</v>
      </c>
      <c r="J103" s="5">
        <v>81.14</v>
      </c>
      <c r="K103" t="str">
        <f t="shared" si="5"/>
        <v>South</v>
      </c>
      <c r="L103" s="7" t="str">
        <f t="shared" si="6"/>
        <v>Furniture</v>
      </c>
      <c r="M103" s="7">
        <f t="shared" si="7"/>
        <v>369</v>
      </c>
      <c r="N103" s="7">
        <f t="shared" si="8"/>
        <v>269.08999999999997</v>
      </c>
      <c r="O103">
        <f t="shared" si="9"/>
        <v>99294.209999999992</v>
      </c>
    </row>
    <row r="104" spans="1:15" ht="29.4" thickBot="1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5">
        <v>232</v>
      </c>
      <c r="I104" s="5">
        <v>391.99</v>
      </c>
      <c r="J104" s="5">
        <v>27.72</v>
      </c>
      <c r="K104" t="str">
        <f t="shared" si="5"/>
        <v>South</v>
      </c>
      <c r="L104" s="7" t="str">
        <f t="shared" si="6"/>
        <v>Electronics</v>
      </c>
      <c r="M104" s="7">
        <f t="shared" si="7"/>
        <v>232</v>
      </c>
      <c r="N104" s="7">
        <f t="shared" si="8"/>
        <v>391.99</v>
      </c>
      <c r="O104">
        <f t="shared" si="9"/>
        <v>90941.680000000008</v>
      </c>
    </row>
    <row r="105" spans="1:15" ht="15" thickBot="1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5">
        <v>363</v>
      </c>
      <c r="I105" s="5">
        <v>354.17</v>
      </c>
      <c r="J105" s="5">
        <v>18.97</v>
      </c>
      <c r="K105" t="str">
        <f t="shared" si="5"/>
        <v>West</v>
      </c>
      <c r="L105" s="7" t="str">
        <f t="shared" si="6"/>
        <v>Clothing</v>
      </c>
      <c r="M105" s="7">
        <f t="shared" si="7"/>
        <v>363</v>
      </c>
      <c r="N105" s="7">
        <f t="shared" si="8"/>
        <v>354.17</v>
      </c>
      <c r="O105">
        <f t="shared" si="9"/>
        <v>128563.71</v>
      </c>
    </row>
    <row r="106" spans="1:15" ht="29.4" thickBot="1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5">
        <v>197</v>
      </c>
      <c r="I106" s="5">
        <v>225.95</v>
      </c>
      <c r="J106" s="5">
        <v>149.82</v>
      </c>
      <c r="K106" t="str">
        <f t="shared" si="5"/>
        <v>South</v>
      </c>
      <c r="L106" s="7" t="str">
        <f t="shared" si="6"/>
        <v>Electronics</v>
      </c>
      <c r="M106" s="7">
        <f t="shared" si="7"/>
        <v>197</v>
      </c>
      <c r="N106" s="7">
        <f t="shared" si="8"/>
        <v>225.95</v>
      </c>
      <c r="O106">
        <f t="shared" si="9"/>
        <v>44512.149999999994</v>
      </c>
    </row>
    <row r="107" spans="1:15" ht="29.4" thickBot="1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5">
        <v>457</v>
      </c>
      <c r="I107" s="5">
        <v>432.79</v>
      </c>
      <c r="J107" s="5">
        <v>107.81</v>
      </c>
      <c r="K107" t="str">
        <f t="shared" si="5"/>
        <v>South</v>
      </c>
      <c r="L107" s="7" t="str">
        <f t="shared" si="6"/>
        <v>Beverages</v>
      </c>
      <c r="M107" s="7">
        <f t="shared" si="7"/>
        <v>457</v>
      </c>
      <c r="N107" s="7">
        <f t="shared" si="8"/>
        <v>432.79</v>
      </c>
      <c r="O107">
        <f t="shared" si="9"/>
        <v>197785.03</v>
      </c>
    </row>
    <row r="108" spans="1:15" ht="15" thickBot="1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5">
        <v>353</v>
      </c>
      <c r="I108" s="5">
        <v>281.27999999999997</v>
      </c>
      <c r="J108" s="5">
        <v>259.14</v>
      </c>
      <c r="K108" t="str">
        <f t="shared" si="5"/>
        <v>South</v>
      </c>
      <c r="L108" s="7" t="str">
        <f t="shared" si="6"/>
        <v>Food</v>
      </c>
      <c r="M108" s="7">
        <f t="shared" si="7"/>
        <v>353</v>
      </c>
      <c r="N108" s="7">
        <f t="shared" si="8"/>
        <v>281.27999999999997</v>
      </c>
      <c r="O108">
        <f t="shared" si="9"/>
        <v>99291.839999999997</v>
      </c>
    </row>
    <row r="109" spans="1:15" ht="29.4" thickBot="1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5">
        <v>374</v>
      </c>
      <c r="I109" s="5">
        <v>272.25</v>
      </c>
      <c r="J109" s="5">
        <v>200.73</v>
      </c>
      <c r="K109" t="str">
        <f t="shared" si="5"/>
        <v>West</v>
      </c>
      <c r="L109" s="7" t="str">
        <f t="shared" si="6"/>
        <v>Electronics</v>
      </c>
      <c r="M109" s="7">
        <f t="shared" si="7"/>
        <v>374</v>
      </c>
      <c r="N109" s="7">
        <f t="shared" si="8"/>
        <v>272.25</v>
      </c>
      <c r="O109">
        <f t="shared" si="9"/>
        <v>101821.5</v>
      </c>
    </row>
    <row r="110" spans="1:15" ht="29.4" thickBot="1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5">
        <v>172</v>
      </c>
      <c r="I110" s="5">
        <v>21.92</v>
      </c>
      <c r="J110" s="5">
        <v>107.88</v>
      </c>
      <c r="K110" t="str">
        <f t="shared" si="5"/>
        <v>South</v>
      </c>
      <c r="L110" s="7" t="str">
        <f t="shared" si="6"/>
        <v>Beverages</v>
      </c>
      <c r="M110" s="7">
        <f t="shared" si="7"/>
        <v>172</v>
      </c>
      <c r="N110" s="7">
        <f t="shared" si="8"/>
        <v>21.92</v>
      </c>
      <c r="O110">
        <f t="shared" si="9"/>
        <v>3770.2400000000002</v>
      </c>
    </row>
    <row r="111" spans="1:15" ht="29.4" thickBot="1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5">
        <v>335</v>
      </c>
      <c r="I111" s="5">
        <v>493.41</v>
      </c>
      <c r="J111" s="5">
        <v>61.4</v>
      </c>
      <c r="K111" t="str">
        <f t="shared" si="5"/>
        <v>East</v>
      </c>
      <c r="L111" s="7" t="str">
        <f t="shared" si="6"/>
        <v>Beverages</v>
      </c>
      <c r="M111" s="7">
        <f t="shared" si="7"/>
        <v>335</v>
      </c>
      <c r="N111" s="7">
        <f t="shared" si="8"/>
        <v>493.41</v>
      </c>
      <c r="O111">
        <f t="shared" si="9"/>
        <v>165292.35</v>
      </c>
    </row>
    <row r="112" spans="1:15" ht="15" thickBot="1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5">
        <v>476</v>
      </c>
      <c r="I112" s="5">
        <v>65.87</v>
      </c>
      <c r="J112" s="5">
        <v>52.63</v>
      </c>
      <c r="K112" t="str">
        <f t="shared" si="5"/>
        <v>West</v>
      </c>
      <c r="L112" s="7" t="str">
        <f t="shared" si="6"/>
        <v>Clothing</v>
      </c>
      <c r="M112" s="7">
        <f t="shared" si="7"/>
        <v>476</v>
      </c>
      <c r="N112" s="7">
        <f t="shared" si="8"/>
        <v>65.87</v>
      </c>
      <c r="O112">
        <f t="shared" si="9"/>
        <v>31354.120000000003</v>
      </c>
    </row>
    <row r="113" spans="1:15" ht="29.4" thickBot="1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5">
        <v>423</v>
      </c>
      <c r="I113" s="5">
        <v>119.41</v>
      </c>
      <c r="J113" s="5">
        <v>346.13</v>
      </c>
      <c r="K113" t="str">
        <f t="shared" si="5"/>
        <v>East</v>
      </c>
      <c r="L113" s="7" t="str">
        <f t="shared" si="6"/>
        <v>Beverages</v>
      </c>
      <c r="M113" s="7">
        <f t="shared" si="7"/>
        <v>423</v>
      </c>
      <c r="N113" s="7">
        <f t="shared" si="8"/>
        <v>119.41</v>
      </c>
      <c r="O113">
        <f t="shared" si="9"/>
        <v>50510.43</v>
      </c>
    </row>
    <row r="114" spans="1:15" ht="29.4" thickBot="1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5">
        <v>464</v>
      </c>
      <c r="I114" s="5">
        <v>30.59</v>
      </c>
      <c r="J114" s="5">
        <v>98.9</v>
      </c>
      <c r="K114" t="str">
        <f t="shared" si="5"/>
        <v>West</v>
      </c>
      <c r="L114" s="7" t="str">
        <f t="shared" si="6"/>
        <v>Beverages</v>
      </c>
      <c r="M114" s="7">
        <f t="shared" si="7"/>
        <v>464</v>
      </c>
      <c r="N114" s="7">
        <f t="shared" si="8"/>
        <v>30.59</v>
      </c>
      <c r="O114">
        <f t="shared" si="9"/>
        <v>14193.76</v>
      </c>
    </row>
    <row r="115" spans="1:15" ht="29.4" thickBot="1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5">
        <v>83</v>
      </c>
      <c r="I115" s="5">
        <v>321.8</v>
      </c>
      <c r="J115" s="5">
        <v>261.38</v>
      </c>
      <c r="K115" t="str">
        <f t="shared" si="5"/>
        <v>South</v>
      </c>
      <c r="L115" s="7" t="str">
        <f t="shared" si="6"/>
        <v>Beverages</v>
      </c>
      <c r="M115" s="7">
        <f t="shared" si="7"/>
        <v>83</v>
      </c>
      <c r="N115" s="7">
        <f t="shared" si="8"/>
        <v>321.8</v>
      </c>
      <c r="O115">
        <f t="shared" si="9"/>
        <v>26709.4</v>
      </c>
    </row>
    <row r="116" spans="1:15" ht="29.4" thickBot="1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5">
        <v>242</v>
      </c>
      <c r="I116" s="5">
        <v>116.23</v>
      </c>
      <c r="J116" s="5">
        <v>324.64999999999998</v>
      </c>
      <c r="K116" t="str">
        <f t="shared" si="5"/>
        <v>East</v>
      </c>
      <c r="L116" s="7" t="str">
        <f t="shared" si="6"/>
        <v>Beverages</v>
      </c>
      <c r="M116" s="7">
        <f t="shared" si="7"/>
        <v>242</v>
      </c>
      <c r="N116" s="7">
        <f t="shared" si="8"/>
        <v>116.23</v>
      </c>
      <c r="O116">
        <f t="shared" si="9"/>
        <v>28127.66</v>
      </c>
    </row>
    <row r="117" spans="1:15" ht="15" thickBot="1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5">
        <v>233</v>
      </c>
      <c r="I117" s="5">
        <v>94.11</v>
      </c>
      <c r="J117" s="5">
        <v>246.4</v>
      </c>
      <c r="K117" t="str">
        <f t="shared" si="5"/>
        <v>West</v>
      </c>
      <c r="L117" s="7" t="str">
        <f t="shared" si="6"/>
        <v>Furniture</v>
      </c>
      <c r="M117" s="7">
        <f t="shared" si="7"/>
        <v>233</v>
      </c>
      <c r="N117" s="7">
        <f t="shared" si="8"/>
        <v>94.11</v>
      </c>
      <c r="O117">
        <f t="shared" si="9"/>
        <v>21927.63</v>
      </c>
    </row>
    <row r="118" spans="1:15" ht="15" thickBot="1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5">
        <v>491</v>
      </c>
      <c r="I118" s="5">
        <v>48.84</v>
      </c>
      <c r="J118" s="5">
        <v>344.11</v>
      </c>
      <c r="K118" t="str">
        <f t="shared" si="5"/>
        <v>North</v>
      </c>
      <c r="L118" s="7" t="str">
        <f t="shared" si="6"/>
        <v>Furniture</v>
      </c>
      <c r="M118" s="7">
        <f t="shared" si="7"/>
        <v>491</v>
      </c>
      <c r="N118" s="7">
        <f t="shared" si="8"/>
        <v>48.84</v>
      </c>
      <c r="O118">
        <f t="shared" si="9"/>
        <v>23980.440000000002</v>
      </c>
    </row>
    <row r="119" spans="1:15" ht="15" thickBot="1">
      <c r="A119" s="3" t="s">
        <v>146</v>
      </c>
      <c r="B119" s="3" t="s">
        <v>17</v>
      </c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5">
        <v>328</v>
      </c>
      <c r="I119" s="5">
        <v>56.14</v>
      </c>
      <c r="J119" s="5">
        <v>158.16999999999999</v>
      </c>
      <c r="K119" t="str">
        <f t="shared" si="5"/>
        <v>West</v>
      </c>
      <c r="L119" s="7" t="str">
        <f t="shared" si="6"/>
        <v>Clothing</v>
      </c>
      <c r="M119" s="7">
        <f t="shared" si="7"/>
        <v>328</v>
      </c>
      <c r="N119" s="7">
        <f t="shared" si="8"/>
        <v>56.14</v>
      </c>
      <c r="O119">
        <f t="shared" si="9"/>
        <v>18413.920000000002</v>
      </c>
    </row>
    <row r="120" spans="1:15" ht="29.4" thickBot="1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5">
        <v>421</v>
      </c>
      <c r="I120" s="5">
        <v>294.41000000000003</v>
      </c>
      <c r="J120" s="5">
        <v>382.58</v>
      </c>
      <c r="K120" t="str">
        <f t="shared" si="5"/>
        <v>West</v>
      </c>
      <c r="L120" s="7" t="str">
        <f t="shared" si="6"/>
        <v>Electronics</v>
      </c>
      <c r="M120" s="7">
        <f t="shared" si="7"/>
        <v>421</v>
      </c>
      <c r="N120" s="7">
        <f t="shared" si="8"/>
        <v>294.41000000000003</v>
      </c>
      <c r="O120">
        <f t="shared" si="9"/>
        <v>123946.61000000002</v>
      </c>
    </row>
    <row r="121" spans="1:15" ht="29.4" thickBot="1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5">
        <v>69</v>
      </c>
      <c r="I121" s="5">
        <v>345.66</v>
      </c>
      <c r="J121" s="5">
        <v>54.99</v>
      </c>
      <c r="K121" t="str">
        <f t="shared" si="5"/>
        <v>North</v>
      </c>
      <c r="L121" s="7" t="str">
        <f t="shared" si="6"/>
        <v>Beverages</v>
      </c>
      <c r="M121" s="7">
        <f t="shared" si="7"/>
        <v>69</v>
      </c>
      <c r="N121" s="7">
        <f t="shared" si="8"/>
        <v>345.66</v>
      </c>
      <c r="O121">
        <f t="shared" si="9"/>
        <v>23850.54</v>
      </c>
    </row>
    <row r="122" spans="1:15" ht="29.4" thickBot="1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5">
        <v>344</v>
      </c>
      <c r="I122" s="5">
        <v>201.7</v>
      </c>
      <c r="J122" s="5">
        <v>42.66</v>
      </c>
      <c r="K122" t="str">
        <f t="shared" si="5"/>
        <v>West</v>
      </c>
      <c r="L122" s="7" t="str">
        <f t="shared" si="6"/>
        <v>Electronics</v>
      </c>
      <c r="M122" s="7">
        <f t="shared" si="7"/>
        <v>344</v>
      </c>
      <c r="N122" s="7">
        <f t="shared" si="8"/>
        <v>201.7</v>
      </c>
      <c r="O122">
        <f t="shared" si="9"/>
        <v>69384.800000000003</v>
      </c>
    </row>
    <row r="123" spans="1:15" ht="29.4" thickBot="1">
      <c r="A123" s="3" t="s">
        <v>150</v>
      </c>
      <c r="B123" s="3" t="s">
        <v>17</v>
      </c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5">
        <v>231</v>
      </c>
      <c r="I123" s="5">
        <v>242.55</v>
      </c>
      <c r="J123" s="5">
        <v>264.16000000000003</v>
      </c>
      <c r="K123" t="str">
        <f t="shared" si="5"/>
        <v>West</v>
      </c>
      <c r="L123" s="7" t="str">
        <f t="shared" si="6"/>
        <v>Electronics</v>
      </c>
      <c r="M123" s="7">
        <f t="shared" si="7"/>
        <v>231</v>
      </c>
      <c r="N123" s="7">
        <f t="shared" si="8"/>
        <v>242.55</v>
      </c>
      <c r="O123">
        <f t="shared" si="9"/>
        <v>56029.05</v>
      </c>
    </row>
    <row r="124" spans="1:15" ht="15" thickBot="1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5">
        <v>46</v>
      </c>
      <c r="I124" s="5">
        <v>344.55</v>
      </c>
      <c r="J124" s="5">
        <v>377.25</v>
      </c>
      <c r="K124" t="str">
        <f t="shared" si="5"/>
        <v>South</v>
      </c>
      <c r="L124" s="7" t="str">
        <f t="shared" si="6"/>
        <v>Clothing</v>
      </c>
      <c r="M124" s="7">
        <f t="shared" si="7"/>
        <v>46</v>
      </c>
      <c r="N124" s="7">
        <f t="shared" si="8"/>
        <v>344.55</v>
      </c>
      <c r="O124">
        <f t="shared" si="9"/>
        <v>15849.300000000001</v>
      </c>
    </row>
    <row r="125" spans="1:15" ht="29.4" thickBot="1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5">
        <v>486</v>
      </c>
      <c r="I125" s="5">
        <v>13.6</v>
      </c>
      <c r="J125" s="5">
        <v>323.94</v>
      </c>
      <c r="K125" t="str">
        <f t="shared" si="5"/>
        <v>East</v>
      </c>
      <c r="L125" s="7" t="str">
        <f t="shared" si="6"/>
        <v>Beverages</v>
      </c>
      <c r="M125" s="7">
        <f t="shared" si="7"/>
        <v>486</v>
      </c>
      <c r="N125" s="7">
        <f t="shared" si="8"/>
        <v>13.6</v>
      </c>
      <c r="O125">
        <f t="shared" si="9"/>
        <v>6609.5999999999995</v>
      </c>
    </row>
    <row r="126" spans="1:15" ht="29.4" thickBot="1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5">
        <v>287</v>
      </c>
      <c r="I126" s="5">
        <v>164.95</v>
      </c>
      <c r="J126" s="5">
        <v>32.409999999999997</v>
      </c>
      <c r="K126" t="str">
        <f t="shared" si="5"/>
        <v>North</v>
      </c>
      <c r="L126" s="7" t="str">
        <f t="shared" si="6"/>
        <v>Beverages</v>
      </c>
      <c r="M126" s="7">
        <f t="shared" si="7"/>
        <v>287</v>
      </c>
      <c r="N126" s="7">
        <f t="shared" si="8"/>
        <v>164.95</v>
      </c>
      <c r="O126">
        <f t="shared" si="9"/>
        <v>47340.649999999994</v>
      </c>
    </row>
    <row r="127" spans="1:15" ht="15" thickBot="1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5">
        <v>205</v>
      </c>
      <c r="I127" s="5">
        <v>486.68</v>
      </c>
      <c r="J127" s="5">
        <v>113.19</v>
      </c>
      <c r="K127" t="str">
        <f t="shared" si="5"/>
        <v>West</v>
      </c>
      <c r="L127" s="7" t="str">
        <f t="shared" si="6"/>
        <v>Food</v>
      </c>
      <c r="M127" s="7">
        <f t="shared" si="7"/>
        <v>205</v>
      </c>
      <c r="N127" s="7">
        <f t="shared" si="8"/>
        <v>486.68</v>
      </c>
      <c r="O127">
        <f t="shared" si="9"/>
        <v>99769.4</v>
      </c>
    </row>
    <row r="128" spans="1:15" ht="29.4" thickBot="1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5">
        <v>413</v>
      </c>
      <c r="I128" s="5">
        <v>292.16000000000003</v>
      </c>
      <c r="J128" s="5">
        <v>372.27</v>
      </c>
      <c r="K128" t="str">
        <f t="shared" si="5"/>
        <v>South</v>
      </c>
      <c r="L128" s="7" t="str">
        <f t="shared" si="6"/>
        <v>Electronics</v>
      </c>
      <c r="M128" s="7">
        <f t="shared" si="7"/>
        <v>413</v>
      </c>
      <c r="N128" s="7">
        <f t="shared" si="8"/>
        <v>292.16000000000003</v>
      </c>
      <c r="O128">
        <f t="shared" si="9"/>
        <v>120662.08000000002</v>
      </c>
    </row>
    <row r="129" spans="1:15" ht="29.4" thickBot="1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5">
        <v>361</v>
      </c>
      <c r="I129" s="5">
        <v>130.84</v>
      </c>
      <c r="J129" s="5">
        <v>102.72</v>
      </c>
      <c r="K129" t="str">
        <f t="shared" si="5"/>
        <v>North</v>
      </c>
      <c r="L129" s="7" t="str">
        <f t="shared" si="6"/>
        <v>Electronics</v>
      </c>
      <c r="M129" s="7">
        <f t="shared" si="7"/>
        <v>361</v>
      </c>
      <c r="N129" s="7">
        <f t="shared" si="8"/>
        <v>130.84</v>
      </c>
      <c r="O129">
        <f t="shared" si="9"/>
        <v>47233.24</v>
      </c>
    </row>
    <row r="130" spans="1:15" ht="15" thickBot="1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5">
        <v>493</v>
      </c>
      <c r="I130" s="5">
        <v>263.26</v>
      </c>
      <c r="J130" s="5">
        <v>312.91000000000003</v>
      </c>
      <c r="K130" t="str">
        <f t="shared" si="5"/>
        <v>West</v>
      </c>
      <c r="L130" s="7" t="str">
        <f t="shared" si="6"/>
        <v>Furniture</v>
      </c>
      <c r="M130" s="7">
        <f t="shared" si="7"/>
        <v>493</v>
      </c>
      <c r="N130" s="7">
        <f t="shared" si="8"/>
        <v>263.26</v>
      </c>
      <c r="O130">
        <f t="shared" si="9"/>
        <v>129787.18</v>
      </c>
    </row>
    <row r="131" spans="1:15" ht="15" thickBot="1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5">
        <v>251</v>
      </c>
      <c r="I131" s="5">
        <v>174.61</v>
      </c>
      <c r="J131" s="5">
        <v>330.4</v>
      </c>
      <c r="K131" t="str">
        <f t="shared" ref="K131:L194" si="10">IF(B131="", "West", B131:B480)</f>
        <v>West</v>
      </c>
      <c r="L131" s="7" t="str">
        <f t="shared" ref="L131:L194" si="11">IF(D131="", "Beverages", D131)</f>
        <v>Food</v>
      </c>
      <c r="M131" s="7">
        <f t="shared" ref="M131:M194" si="12">IF(H131="",AVERAGE($H$2:$H$351),H131)</f>
        <v>251</v>
      </c>
      <c r="N131" s="7">
        <f t="shared" ref="N131:N194" si="13">IF(I131="",AVERAGE($I$2:$I$351),I131)</f>
        <v>174.61</v>
      </c>
      <c r="O131">
        <f t="shared" ref="O131:O194" si="14">H131*I131</f>
        <v>43827.11</v>
      </c>
    </row>
    <row r="132" spans="1:15" ht="15" thickBot="1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>
        <v>255.90289999999999</v>
      </c>
      <c r="I132" s="5">
        <v>268.45999999999998</v>
      </c>
      <c r="J132" s="5">
        <v>199.19</v>
      </c>
      <c r="K132" t="str">
        <f t="shared" si="10"/>
        <v>West</v>
      </c>
      <c r="L132" s="7" t="str">
        <f t="shared" si="11"/>
        <v>Furniture</v>
      </c>
      <c r="M132" s="7">
        <f t="shared" si="12"/>
        <v>255.90289999999999</v>
      </c>
      <c r="N132" s="7">
        <f t="shared" si="13"/>
        <v>268.45999999999998</v>
      </c>
      <c r="O132">
        <f t="shared" si="14"/>
        <v>68699.692533999987</v>
      </c>
    </row>
    <row r="133" spans="1:15" ht="15" thickBot="1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5">
        <v>228</v>
      </c>
      <c r="I133" s="5">
        <v>67.239999999999995</v>
      </c>
      <c r="J133" s="5">
        <v>155.77000000000001</v>
      </c>
      <c r="K133" t="str">
        <f t="shared" si="10"/>
        <v>North</v>
      </c>
      <c r="L133" s="7" t="str">
        <f t="shared" si="11"/>
        <v>Furniture</v>
      </c>
      <c r="M133" s="7">
        <f t="shared" si="12"/>
        <v>228</v>
      </c>
      <c r="N133" s="7">
        <f t="shared" si="13"/>
        <v>67.239999999999995</v>
      </c>
      <c r="O133">
        <f t="shared" si="14"/>
        <v>15330.72</v>
      </c>
    </row>
    <row r="134" spans="1:15" ht="15" thickBot="1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5">
        <v>201</v>
      </c>
      <c r="I134" s="5">
        <v>70.69</v>
      </c>
      <c r="J134" s="5">
        <v>181.15</v>
      </c>
      <c r="K134" t="str">
        <f t="shared" si="10"/>
        <v>North</v>
      </c>
      <c r="L134" s="7" t="str">
        <f t="shared" si="11"/>
        <v>Furniture</v>
      </c>
      <c r="M134" s="7">
        <f t="shared" si="12"/>
        <v>201</v>
      </c>
      <c r="N134" s="7">
        <f t="shared" si="13"/>
        <v>70.69</v>
      </c>
      <c r="O134">
        <f t="shared" si="14"/>
        <v>14208.689999999999</v>
      </c>
    </row>
    <row r="135" spans="1:15" ht="15" thickBot="1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5">
        <v>26</v>
      </c>
      <c r="I135" s="5">
        <v>76.05</v>
      </c>
      <c r="J135" s="5">
        <v>92.33</v>
      </c>
      <c r="K135" t="str">
        <f t="shared" si="10"/>
        <v>North</v>
      </c>
      <c r="L135" s="7" t="str">
        <f t="shared" si="11"/>
        <v>Clothing</v>
      </c>
      <c r="M135" s="7">
        <f t="shared" si="12"/>
        <v>26</v>
      </c>
      <c r="N135" s="7">
        <f t="shared" si="13"/>
        <v>76.05</v>
      </c>
      <c r="O135">
        <f t="shared" si="14"/>
        <v>1977.3</v>
      </c>
    </row>
    <row r="136" spans="1:15" ht="15" thickBot="1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5">
        <v>21</v>
      </c>
      <c r="I136" s="5">
        <v>470.21</v>
      </c>
      <c r="J136" s="5">
        <v>355.98</v>
      </c>
      <c r="K136" t="str">
        <f t="shared" si="10"/>
        <v>East</v>
      </c>
      <c r="L136" s="7" t="str">
        <f t="shared" si="11"/>
        <v>Clothing</v>
      </c>
      <c r="M136" s="7">
        <f t="shared" si="12"/>
        <v>21</v>
      </c>
      <c r="N136" s="7">
        <f t="shared" si="13"/>
        <v>470.21</v>
      </c>
      <c r="O136">
        <f t="shared" si="14"/>
        <v>9874.41</v>
      </c>
    </row>
    <row r="137" spans="1:15" ht="15" thickBot="1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5">
        <v>415</v>
      </c>
      <c r="I137" s="5">
        <v>367.78</v>
      </c>
      <c r="J137" s="5">
        <v>181.35</v>
      </c>
      <c r="K137" t="str">
        <f t="shared" si="10"/>
        <v>North</v>
      </c>
      <c r="L137" s="7" t="str">
        <f t="shared" si="11"/>
        <v>Furniture</v>
      </c>
      <c r="M137" s="7">
        <f t="shared" si="12"/>
        <v>415</v>
      </c>
      <c r="N137" s="7">
        <f t="shared" si="13"/>
        <v>367.78</v>
      </c>
      <c r="O137">
        <f t="shared" si="14"/>
        <v>152628.69999999998</v>
      </c>
    </row>
    <row r="138" spans="1:15" ht="15" thickBot="1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5">
        <v>410</v>
      </c>
      <c r="I138" s="5">
        <v>85.38</v>
      </c>
      <c r="J138" s="5">
        <v>353.22</v>
      </c>
      <c r="K138" t="str">
        <f t="shared" si="10"/>
        <v>North</v>
      </c>
      <c r="L138" s="7" t="str">
        <f t="shared" si="11"/>
        <v>Food</v>
      </c>
      <c r="M138" s="7">
        <f t="shared" si="12"/>
        <v>410</v>
      </c>
      <c r="N138" s="7">
        <f t="shared" si="13"/>
        <v>85.38</v>
      </c>
      <c r="O138">
        <f t="shared" si="14"/>
        <v>35005.799999999996</v>
      </c>
    </row>
    <row r="139" spans="1:15" ht="29.4" thickBot="1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5">
        <v>403</v>
      </c>
      <c r="I139" s="5">
        <v>98.23</v>
      </c>
      <c r="J139" s="5">
        <v>44.07</v>
      </c>
      <c r="K139" t="str">
        <f t="shared" si="10"/>
        <v>North</v>
      </c>
      <c r="L139" s="7" t="str">
        <f t="shared" si="11"/>
        <v>Electronics</v>
      </c>
      <c r="M139" s="7">
        <f t="shared" si="12"/>
        <v>403</v>
      </c>
      <c r="N139" s="7">
        <f t="shared" si="13"/>
        <v>98.23</v>
      </c>
      <c r="O139">
        <f t="shared" si="14"/>
        <v>39586.69</v>
      </c>
    </row>
    <row r="140" spans="1:15" ht="15" thickBot="1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5">
        <v>383</v>
      </c>
      <c r="I140" s="5">
        <v>366.76</v>
      </c>
      <c r="J140" s="5">
        <v>395.33</v>
      </c>
      <c r="K140" t="str">
        <f t="shared" si="10"/>
        <v>East</v>
      </c>
      <c r="L140" s="7" t="str">
        <f t="shared" si="11"/>
        <v>Food</v>
      </c>
      <c r="M140" s="7">
        <f t="shared" si="12"/>
        <v>383</v>
      </c>
      <c r="N140" s="7">
        <f t="shared" si="13"/>
        <v>366.76</v>
      </c>
      <c r="O140">
        <f t="shared" si="14"/>
        <v>140469.07999999999</v>
      </c>
    </row>
    <row r="141" spans="1:15" ht="29.4" thickBot="1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5">
        <v>202</v>
      </c>
      <c r="I141" s="5">
        <v>82.3</v>
      </c>
      <c r="J141" s="5">
        <v>178.42</v>
      </c>
      <c r="K141" t="str">
        <f t="shared" si="10"/>
        <v>North</v>
      </c>
      <c r="L141" s="7" t="str">
        <f t="shared" si="11"/>
        <v>Beverages</v>
      </c>
      <c r="M141" s="7">
        <f t="shared" si="12"/>
        <v>202</v>
      </c>
      <c r="N141" s="7">
        <f t="shared" si="13"/>
        <v>82.3</v>
      </c>
      <c r="O141">
        <f t="shared" si="14"/>
        <v>16624.599999999999</v>
      </c>
    </row>
    <row r="142" spans="1:15" ht="15" thickBot="1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5">
        <v>31</v>
      </c>
      <c r="I142" s="5">
        <v>121.11</v>
      </c>
      <c r="J142" s="5">
        <v>21.04</v>
      </c>
      <c r="K142" t="str">
        <f t="shared" si="10"/>
        <v>West</v>
      </c>
      <c r="L142" s="7" t="str">
        <f t="shared" si="11"/>
        <v>Clothing</v>
      </c>
      <c r="M142" s="7">
        <f t="shared" si="12"/>
        <v>31</v>
      </c>
      <c r="N142" s="7">
        <f t="shared" si="13"/>
        <v>121.11</v>
      </c>
      <c r="O142">
        <f t="shared" si="14"/>
        <v>3754.41</v>
      </c>
    </row>
    <row r="143" spans="1:15" ht="29.4" thickBot="1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5">
        <v>483</v>
      </c>
      <c r="I143" s="5">
        <v>481.86</v>
      </c>
      <c r="J143" s="5">
        <v>17.13</v>
      </c>
      <c r="K143" t="str">
        <f t="shared" si="10"/>
        <v>North</v>
      </c>
      <c r="L143" s="7" t="str">
        <f t="shared" si="11"/>
        <v>Electronics</v>
      </c>
      <c r="M143" s="7">
        <f t="shared" si="12"/>
        <v>483</v>
      </c>
      <c r="N143" s="7">
        <f t="shared" si="13"/>
        <v>481.86</v>
      </c>
      <c r="O143">
        <f t="shared" si="14"/>
        <v>232738.38</v>
      </c>
    </row>
    <row r="144" spans="1:15" ht="29.4" thickBot="1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5">
        <v>129</v>
      </c>
      <c r="I144" s="5">
        <v>131.38</v>
      </c>
      <c r="J144" s="5">
        <v>298.99</v>
      </c>
      <c r="K144" t="str">
        <f t="shared" si="10"/>
        <v>West</v>
      </c>
      <c r="L144" s="7" t="str">
        <f t="shared" si="11"/>
        <v>Electronics</v>
      </c>
      <c r="M144" s="7">
        <f t="shared" si="12"/>
        <v>129</v>
      </c>
      <c r="N144" s="7">
        <f t="shared" si="13"/>
        <v>131.38</v>
      </c>
      <c r="O144">
        <f t="shared" si="14"/>
        <v>16948.02</v>
      </c>
    </row>
    <row r="145" spans="1:15" ht="29.4" thickBot="1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5">
        <v>219</v>
      </c>
      <c r="I145" s="5">
        <v>332.51</v>
      </c>
      <c r="J145" s="5">
        <v>264.3</v>
      </c>
      <c r="K145" t="str">
        <f t="shared" si="10"/>
        <v>West</v>
      </c>
      <c r="L145" s="7" t="str">
        <f t="shared" si="11"/>
        <v>Beverages</v>
      </c>
      <c r="M145" s="7">
        <f t="shared" si="12"/>
        <v>219</v>
      </c>
      <c r="N145" s="7">
        <f t="shared" si="13"/>
        <v>332.51</v>
      </c>
      <c r="O145">
        <f t="shared" si="14"/>
        <v>72819.69</v>
      </c>
    </row>
    <row r="146" spans="1:15" ht="29.4" thickBot="1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5">
        <v>315</v>
      </c>
      <c r="I146" s="5">
        <v>489.42</v>
      </c>
      <c r="J146" s="5">
        <v>321.25</v>
      </c>
      <c r="K146" t="str">
        <f t="shared" si="10"/>
        <v>West</v>
      </c>
      <c r="L146" s="7" t="str">
        <f t="shared" si="11"/>
        <v>Beverages</v>
      </c>
      <c r="M146" s="7">
        <f t="shared" si="12"/>
        <v>315</v>
      </c>
      <c r="N146" s="7">
        <f t="shared" si="13"/>
        <v>489.42</v>
      </c>
      <c r="O146">
        <f t="shared" si="14"/>
        <v>154167.30000000002</v>
      </c>
    </row>
    <row r="147" spans="1:15" ht="15" thickBot="1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5">
        <v>279</v>
      </c>
      <c r="I147" s="5">
        <v>190.28</v>
      </c>
      <c r="J147" s="5">
        <v>43.94</v>
      </c>
      <c r="K147" t="str">
        <f t="shared" si="10"/>
        <v>East</v>
      </c>
      <c r="L147" s="7" t="str">
        <f t="shared" si="11"/>
        <v>Furniture</v>
      </c>
      <c r="M147" s="7">
        <f t="shared" si="12"/>
        <v>279</v>
      </c>
      <c r="N147" s="7">
        <f t="shared" si="13"/>
        <v>190.28</v>
      </c>
      <c r="O147">
        <f t="shared" si="14"/>
        <v>53088.12</v>
      </c>
    </row>
    <row r="148" spans="1:15" ht="15" thickBot="1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5">
        <v>201</v>
      </c>
      <c r="I148" s="5">
        <v>13.67</v>
      </c>
      <c r="J148" s="5">
        <v>16.16</v>
      </c>
      <c r="K148" t="str">
        <f t="shared" si="10"/>
        <v>East</v>
      </c>
      <c r="L148" s="7" t="str">
        <f t="shared" si="11"/>
        <v>Clothing</v>
      </c>
      <c r="M148" s="7">
        <f t="shared" si="12"/>
        <v>201</v>
      </c>
      <c r="N148" s="7">
        <f t="shared" si="13"/>
        <v>13.67</v>
      </c>
      <c r="O148">
        <f t="shared" si="14"/>
        <v>2747.67</v>
      </c>
    </row>
    <row r="149" spans="1:15" ht="15" thickBot="1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5">
        <v>184</v>
      </c>
      <c r="I149" s="5">
        <v>125.85</v>
      </c>
      <c r="J149" s="5">
        <v>204.41</v>
      </c>
      <c r="K149" t="str">
        <f t="shared" si="10"/>
        <v>East</v>
      </c>
      <c r="L149" s="7" t="str">
        <f t="shared" si="11"/>
        <v>Clothing</v>
      </c>
      <c r="M149" s="7">
        <f t="shared" si="12"/>
        <v>184</v>
      </c>
      <c r="N149" s="7">
        <f t="shared" si="13"/>
        <v>125.85</v>
      </c>
      <c r="O149">
        <f t="shared" si="14"/>
        <v>23156.399999999998</v>
      </c>
    </row>
    <row r="150" spans="1:15" ht="15" thickBot="1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5">
        <v>294</v>
      </c>
      <c r="I150" s="5">
        <v>416.28</v>
      </c>
      <c r="J150" s="5">
        <v>156.26</v>
      </c>
      <c r="K150" t="str">
        <f t="shared" si="10"/>
        <v>North</v>
      </c>
      <c r="L150" s="7" t="str">
        <f t="shared" si="11"/>
        <v>Food</v>
      </c>
      <c r="M150" s="7">
        <f t="shared" si="12"/>
        <v>294</v>
      </c>
      <c r="N150" s="7">
        <f t="shared" si="13"/>
        <v>416.28</v>
      </c>
      <c r="O150">
        <f t="shared" si="14"/>
        <v>122386.31999999999</v>
      </c>
    </row>
    <row r="151" spans="1:15" ht="15" thickBot="1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5">
        <v>213</v>
      </c>
      <c r="I151" s="5">
        <v>432.98</v>
      </c>
      <c r="J151" s="5">
        <v>185.85</v>
      </c>
      <c r="K151" t="str">
        <f t="shared" si="10"/>
        <v>West</v>
      </c>
      <c r="L151" s="7" t="str">
        <f t="shared" si="11"/>
        <v>Furniture</v>
      </c>
      <c r="M151" s="7">
        <f t="shared" si="12"/>
        <v>213</v>
      </c>
      <c r="N151" s="7">
        <f t="shared" si="13"/>
        <v>432.98</v>
      </c>
      <c r="O151">
        <f t="shared" si="14"/>
        <v>92224.74</v>
      </c>
    </row>
    <row r="152" spans="1:15" ht="15" thickBot="1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5">
        <v>173</v>
      </c>
      <c r="I152" s="5">
        <v>385.42</v>
      </c>
      <c r="J152" s="5">
        <v>396.65</v>
      </c>
      <c r="K152" t="str">
        <f t="shared" si="10"/>
        <v>East</v>
      </c>
      <c r="L152" s="7" t="str">
        <f t="shared" si="11"/>
        <v>Furniture</v>
      </c>
      <c r="M152" s="7">
        <f t="shared" si="12"/>
        <v>173</v>
      </c>
      <c r="N152" s="7">
        <f t="shared" si="13"/>
        <v>385.42</v>
      </c>
      <c r="O152">
        <f t="shared" si="14"/>
        <v>66677.66</v>
      </c>
    </row>
    <row r="153" spans="1:15" ht="15" thickBot="1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5">
        <v>260</v>
      </c>
      <c r="I153" s="5">
        <v>60.99</v>
      </c>
      <c r="J153" s="5">
        <v>388.36</v>
      </c>
      <c r="K153" t="str">
        <f t="shared" si="10"/>
        <v>East</v>
      </c>
      <c r="L153" s="7" t="str">
        <f t="shared" si="11"/>
        <v>Furniture</v>
      </c>
      <c r="M153" s="7">
        <f t="shared" si="12"/>
        <v>260</v>
      </c>
      <c r="N153" s="7">
        <f t="shared" si="13"/>
        <v>60.99</v>
      </c>
      <c r="O153">
        <f t="shared" si="14"/>
        <v>15857.4</v>
      </c>
    </row>
    <row r="154" spans="1:15" ht="15" thickBot="1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5">
        <v>236</v>
      </c>
      <c r="I154" s="5">
        <v>398.78</v>
      </c>
      <c r="J154" s="5">
        <v>377.04</v>
      </c>
      <c r="K154" t="str">
        <f t="shared" si="10"/>
        <v>North</v>
      </c>
      <c r="L154" s="7" t="str">
        <f t="shared" si="11"/>
        <v>Furniture</v>
      </c>
      <c r="M154" s="7">
        <f t="shared" si="12"/>
        <v>236</v>
      </c>
      <c r="N154" s="7">
        <f t="shared" si="13"/>
        <v>398.78</v>
      </c>
      <c r="O154">
        <f t="shared" si="14"/>
        <v>94112.079999999987</v>
      </c>
    </row>
    <row r="155" spans="1:15" ht="15" thickBot="1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5">
        <v>445</v>
      </c>
      <c r="I155" s="5">
        <v>459.75</v>
      </c>
      <c r="J155" s="5">
        <v>313.97000000000003</v>
      </c>
      <c r="K155" t="str">
        <f t="shared" si="10"/>
        <v>East</v>
      </c>
      <c r="L155" s="7" t="str">
        <f t="shared" si="11"/>
        <v>Clothing</v>
      </c>
      <c r="M155" s="7">
        <f t="shared" si="12"/>
        <v>445</v>
      </c>
      <c r="N155" s="7">
        <f t="shared" si="13"/>
        <v>459.75</v>
      </c>
      <c r="O155">
        <f t="shared" si="14"/>
        <v>204588.75</v>
      </c>
    </row>
    <row r="156" spans="1:15" ht="15" thickBot="1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5">
        <v>390</v>
      </c>
      <c r="I156" s="5">
        <v>302.3</v>
      </c>
      <c r="J156" s="5">
        <v>143.22999999999999</v>
      </c>
      <c r="K156" t="str">
        <f t="shared" si="10"/>
        <v>North</v>
      </c>
      <c r="L156" s="7" t="str">
        <f t="shared" si="11"/>
        <v>Clothing</v>
      </c>
      <c r="M156" s="7">
        <f t="shared" si="12"/>
        <v>390</v>
      </c>
      <c r="N156" s="7">
        <f t="shared" si="13"/>
        <v>302.3</v>
      </c>
      <c r="O156">
        <f t="shared" si="14"/>
        <v>117897</v>
      </c>
    </row>
    <row r="157" spans="1:15" ht="15" thickBot="1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5">
        <v>469</v>
      </c>
      <c r="I157" s="5">
        <v>470.73</v>
      </c>
      <c r="J157" s="5">
        <v>166.03</v>
      </c>
      <c r="K157" t="str">
        <f t="shared" si="10"/>
        <v>South</v>
      </c>
      <c r="L157" s="7" t="str">
        <f t="shared" si="11"/>
        <v>Furniture</v>
      </c>
      <c r="M157" s="7">
        <f t="shared" si="12"/>
        <v>469</v>
      </c>
      <c r="N157" s="7">
        <f t="shared" si="13"/>
        <v>470.73</v>
      </c>
      <c r="O157">
        <f t="shared" si="14"/>
        <v>220772.37</v>
      </c>
    </row>
    <row r="158" spans="1:15" ht="15" thickBot="1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5">
        <v>16</v>
      </c>
      <c r="I158" s="3">
        <v>249.64519999999999</v>
      </c>
      <c r="J158" s="5">
        <v>220.75</v>
      </c>
      <c r="K158" t="str">
        <f t="shared" si="10"/>
        <v>East</v>
      </c>
      <c r="L158" s="7" t="str">
        <f t="shared" si="11"/>
        <v>Food</v>
      </c>
      <c r="M158" s="7">
        <f t="shared" si="12"/>
        <v>16</v>
      </c>
      <c r="N158" s="7">
        <f t="shared" si="13"/>
        <v>249.64519999999999</v>
      </c>
      <c r="O158">
        <f t="shared" si="14"/>
        <v>3994.3231999999998</v>
      </c>
    </row>
    <row r="159" spans="1:15" ht="29.4" thickBot="1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5">
        <v>38</v>
      </c>
      <c r="I159" s="5">
        <v>335.15</v>
      </c>
      <c r="J159" s="5">
        <v>332.55</v>
      </c>
      <c r="K159" t="str">
        <f t="shared" si="10"/>
        <v>South</v>
      </c>
      <c r="L159" s="7" t="str">
        <f t="shared" si="11"/>
        <v>Electronics</v>
      </c>
      <c r="M159" s="7">
        <f t="shared" si="12"/>
        <v>38</v>
      </c>
      <c r="N159" s="7">
        <f t="shared" si="13"/>
        <v>335.15</v>
      </c>
      <c r="O159">
        <f t="shared" si="14"/>
        <v>12735.699999999999</v>
      </c>
    </row>
    <row r="160" spans="1:15" ht="15" thickBot="1">
      <c r="A160" s="3" t="s">
        <v>187</v>
      </c>
      <c r="B160" s="3" t="s">
        <v>22</v>
      </c>
      <c r="C160" s="3" t="s">
        <v>31</v>
      </c>
      <c r="D160" s="7" t="s">
        <v>13</v>
      </c>
      <c r="E160" s="3" t="s">
        <v>24</v>
      </c>
      <c r="F160" s="3" t="s">
        <v>28</v>
      </c>
      <c r="G160" s="4">
        <v>45085</v>
      </c>
      <c r="H160" s="5">
        <v>404</v>
      </c>
      <c r="I160" s="5">
        <v>290.70999999999998</v>
      </c>
      <c r="J160" s="5">
        <v>29.35</v>
      </c>
      <c r="K160" t="str">
        <f t="shared" si="10"/>
        <v>North</v>
      </c>
      <c r="L160" s="7" t="str">
        <f t="shared" si="11"/>
        <v>Beverages</v>
      </c>
      <c r="M160" s="7">
        <f t="shared" si="12"/>
        <v>404</v>
      </c>
      <c r="N160" s="7">
        <f t="shared" si="13"/>
        <v>290.70999999999998</v>
      </c>
      <c r="O160">
        <f t="shared" si="14"/>
        <v>117446.84</v>
      </c>
    </row>
    <row r="161" spans="1:15" ht="15" thickBot="1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5">
        <v>42</v>
      </c>
      <c r="I161" s="5">
        <v>177.54</v>
      </c>
      <c r="J161" s="5">
        <v>170.87</v>
      </c>
      <c r="K161" t="str">
        <f t="shared" si="10"/>
        <v>West</v>
      </c>
      <c r="L161" s="7" t="str">
        <f t="shared" si="11"/>
        <v>Food</v>
      </c>
      <c r="M161" s="7">
        <f t="shared" si="12"/>
        <v>42</v>
      </c>
      <c r="N161" s="7">
        <f t="shared" si="13"/>
        <v>177.54</v>
      </c>
      <c r="O161">
        <f t="shared" si="14"/>
        <v>7456.6799999999994</v>
      </c>
    </row>
    <row r="162" spans="1:15" ht="15" thickBot="1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5">
        <v>143</v>
      </c>
      <c r="I162" s="5">
        <v>83.85</v>
      </c>
      <c r="J162" s="5">
        <v>34.880000000000003</v>
      </c>
      <c r="K162" t="str">
        <f t="shared" si="10"/>
        <v>East</v>
      </c>
      <c r="L162" s="7" t="str">
        <f t="shared" si="11"/>
        <v>Furniture</v>
      </c>
      <c r="M162" s="7">
        <f t="shared" si="12"/>
        <v>143</v>
      </c>
      <c r="N162" s="7">
        <f t="shared" si="13"/>
        <v>83.85</v>
      </c>
      <c r="O162">
        <f t="shared" si="14"/>
        <v>11990.55</v>
      </c>
    </row>
    <row r="163" spans="1:15" ht="15" thickBot="1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5">
        <v>376</v>
      </c>
      <c r="I163" s="5">
        <v>304.45</v>
      </c>
      <c r="J163" s="5">
        <v>206.83</v>
      </c>
      <c r="K163" t="str">
        <f t="shared" si="10"/>
        <v>North</v>
      </c>
      <c r="L163" s="7" t="str">
        <f t="shared" si="11"/>
        <v>Clothing</v>
      </c>
      <c r="M163" s="7">
        <f t="shared" si="12"/>
        <v>376</v>
      </c>
      <c r="N163" s="7">
        <f t="shared" si="13"/>
        <v>304.45</v>
      </c>
      <c r="O163">
        <f t="shared" si="14"/>
        <v>114473.2</v>
      </c>
    </row>
    <row r="164" spans="1:15" ht="29.4" thickBot="1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5">
        <v>88</v>
      </c>
      <c r="I164" s="5">
        <v>162.47</v>
      </c>
      <c r="J164" s="5">
        <v>359.76</v>
      </c>
      <c r="K164" t="str">
        <f t="shared" si="10"/>
        <v>West</v>
      </c>
      <c r="L164" s="7" t="str">
        <f t="shared" si="11"/>
        <v>Electronics</v>
      </c>
      <c r="M164" s="7">
        <f t="shared" si="12"/>
        <v>88</v>
      </c>
      <c r="N164" s="7">
        <f t="shared" si="13"/>
        <v>162.47</v>
      </c>
      <c r="O164">
        <f t="shared" si="14"/>
        <v>14297.36</v>
      </c>
    </row>
    <row r="165" spans="1:15" ht="29.4" thickBot="1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5">
        <v>425</v>
      </c>
      <c r="I165" s="5">
        <v>433.89</v>
      </c>
      <c r="J165" s="5">
        <v>313.43</v>
      </c>
      <c r="K165" t="str">
        <f t="shared" si="10"/>
        <v>West</v>
      </c>
      <c r="L165" s="7" t="str">
        <f t="shared" si="11"/>
        <v>Beverages</v>
      </c>
      <c r="M165" s="7">
        <f t="shared" si="12"/>
        <v>425</v>
      </c>
      <c r="N165" s="7">
        <f t="shared" si="13"/>
        <v>433.89</v>
      </c>
      <c r="O165">
        <f t="shared" si="14"/>
        <v>184403.25</v>
      </c>
    </row>
    <row r="166" spans="1:15" ht="29.4" thickBot="1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5">
        <v>444</v>
      </c>
      <c r="I166" s="5">
        <v>496.7</v>
      </c>
      <c r="J166" s="5">
        <v>92.68</v>
      </c>
      <c r="K166" t="str">
        <f t="shared" si="10"/>
        <v>South</v>
      </c>
      <c r="L166" s="7" t="str">
        <f t="shared" si="11"/>
        <v>Beverages</v>
      </c>
      <c r="M166" s="7">
        <f t="shared" si="12"/>
        <v>444</v>
      </c>
      <c r="N166" s="7">
        <f t="shared" si="13"/>
        <v>496.7</v>
      </c>
      <c r="O166">
        <f t="shared" si="14"/>
        <v>220534.8</v>
      </c>
    </row>
    <row r="167" spans="1:15" ht="15" thickBot="1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5">
        <v>468</v>
      </c>
      <c r="I167" s="5">
        <v>377.45</v>
      </c>
      <c r="J167" s="5">
        <v>390.44</v>
      </c>
      <c r="K167" t="str">
        <f t="shared" si="10"/>
        <v>North</v>
      </c>
      <c r="L167" s="7" t="str">
        <f t="shared" si="11"/>
        <v>Food</v>
      </c>
      <c r="M167" s="7">
        <f t="shared" si="12"/>
        <v>468</v>
      </c>
      <c r="N167" s="7">
        <f t="shared" si="13"/>
        <v>377.45</v>
      </c>
      <c r="O167">
        <f t="shared" si="14"/>
        <v>176646.6</v>
      </c>
    </row>
    <row r="168" spans="1:15" ht="15" thickBot="1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5">
        <v>67</v>
      </c>
      <c r="I168" s="5">
        <v>49.79</v>
      </c>
      <c r="J168" s="5">
        <v>267.61</v>
      </c>
      <c r="K168" t="str">
        <f t="shared" si="10"/>
        <v>West</v>
      </c>
      <c r="L168" s="7" t="str">
        <f t="shared" si="11"/>
        <v>Furniture</v>
      </c>
      <c r="M168" s="7">
        <f t="shared" si="12"/>
        <v>67</v>
      </c>
      <c r="N168" s="7">
        <f t="shared" si="13"/>
        <v>49.79</v>
      </c>
      <c r="O168">
        <f t="shared" si="14"/>
        <v>3335.93</v>
      </c>
    </row>
    <row r="169" spans="1:15" ht="29.4" thickBot="1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5">
        <v>480</v>
      </c>
      <c r="I169" s="5">
        <v>147.9</v>
      </c>
      <c r="J169" s="5">
        <v>6.15</v>
      </c>
      <c r="K169" t="str">
        <f t="shared" si="10"/>
        <v>East</v>
      </c>
      <c r="L169" s="7" t="str">
        <f t="shared" si="11"/>
        <v>Electronics</v>
      </c>
      <c r="M169" s="7">
        <f t="shared" si="12"/>
        <v>480</v>
      </c>
      <c r="N169" s="7">
        <f t="shared" si="13"/>
        <v>147.9</v>
      </c>
      <c r="O169">
        <f t="shared" si="14"/>
        <v>70992</v>
      </c>
    </row>
    <row r="170" spans="1:15" ht="15" thickBot="1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5">
        <v>35</v>
      </c>
      <c r="I170" s="5">
        <v>59.01</v>
      </c>
      <c r="J170" s="5">
        <v>103.65</v>
      </c>
      <c r="K170" t="str">
        <f t="shared" si="10"/>
        <v>East</v>
      </c>
      <c r="L170" s="7" t="str">
        <f t="shared" si="11"/>
        <v>Furniture</v>
      </c>
      <c r="M170" s="7">
        <f t="shared" si="12"/>
        <v>35</v>
      </c>
      <c r="N170" s="7">
        <f t="shared" si="13"/>
        <v>59.01</v>
      </c>
      <c r="O170">
        <f t="shared" si="14"/>
        <v>2065.35</v>
      </c>
    </row>
    <row r="171" spans="1:15" ht="29.4" thickBot="1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5">
        <v>491</v>
      </c>
      <c r="I171" s="5">
        <v>327</v>
      </c>
      <c r="J171" s="5">
        <v>105.76</v>
      </c>
      <c r="K171" t="str">
        <f t="shared" si="10"/>
        <v>South</v>
      </c>
      <c r="L171" s="7" t="str">
        <f t="shared" si="11"/>
        <v>Electronics</v>
      </c>
      <c r="M171" s="7">
        <f t="shared" si="12"/>
        <v>491</v>
      </c>
      <c r="N171" s="7">
        <f t="shared" si="13"/>
        <v>327</v>
      </c>
      <c r="O171">
        <f t="shared" si="14"/>
        <v>160557</v>
      </c>
    </row>
    <row r="172" spans="1:15" ht="15" thickBot="1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5">
        <v>439</v>
      </c>
      <c r="I172" s="5">
        <v>383.77</v>
      </c>
      <c r="J172" s="5">
        <v>29.56</v>
      </c>
      <c r="K172" t="str">
        <f t="shared" si="10"/>
        <v>West</v>
      </c>
      <c r="L172" s="7" t="str">
        <f t="shared" si="11"/>
        <v>Food</v>
      </c>
      <c r="M172" s="7">
        <f t="shared" si="12"/>
        <v>439</v>
      </c>
      <c r="N172" s="7">
        <f t="shared" si="13"/>
        <v>383.77</v>
      </c>
      <c r="O172">
        <f t="shared" si="14"/>
        <v>168475.03</v>
      </c>
    </row>
    <row r="173" spans="1:15" ht="15" thickBot="1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5">
        <v>235</v>
      </c>
      <c r="I173" s="5">
        <v>463.21</v>
      </c>
      <c r="J173" s="5">
        <v>384.01</v>
      </c>
      <c r="K173" t="str">
        <f t="shared" si="10"/>
        <v>North</v>
      </c>
      <c r="L173" s="7" t="str">
        <f t="shared" si="11"/>
        <v>Food</v>
      </c>
      <c r="M173" s="7">
        <f t="shared" si="12"/>
        <v>235</v>
      </c>
      <c r="N173" s="7">
        <f t="shared" si="13"/>
        <v>463.21</v>
      </c>
      <c r="O173">
        <f t="shared" si="14"/>
        <v>108854.34999999999</v>
      </c>
    </row>
    <row r="174" spans="1:15" ht="29.4" thickBot="1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5">
        <v>294</v>
      </c>
      <c r="I174" s="5">
        <v>221.9</v>
      </c>
      <c r="J174" s="5">
        <v>192.35</v>
      </c>
      <c r="K174" t="str">
        <f t="shared" si="10"/>
        <v>East</v>
      </c>
      <c r="L174" s="7" t="str">
        <f t="shared" si="11"/>
        <v>Beverages</v>
      </c>
      <c r="M174" s="7">
        <f t="shared" si="12"/>
        <v>294</v>
      </c>
      <c r="N174" s="7">
        <f t="shared" si="13"/>
        <v>221.9</v>
      </c>
      <c r="O174">
        <f t="shared" si="14"/>
        <v>65238.6</v>
      </c>
    </row>
    <row r="175" spans="1:15" ht="15" thickBot="1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5">
        <v>13</v>
      </c>
      <c r="I175" s="5">
        <v>451.18</v>
      </c>
      <c r="J175" s="5">
        <v>358.53</v>
      </c>
      <c r="K175" t="str">
        <f t="shared" si="10"/>
        <v>West</v>
      </c>
      <c r="L175" s="7" t="str">
        <f t="shared" si="11"/>
        <v>Furniture</v>
      </c>
      <c r="M175" s="7">
        <f t="shared" si="12"/>
        <v>13</v>
      </c>
      <c r="N175" s="7">
        <f t="shared" si="13"/>
        <v>451.18</v>
      </c>
      <c r="O175">
        <f t="shared" si="14"/>
        <v>5865.34</v>
      </c>
    </row>
    <row r="176" spans="1:15" ht="29.4" thickBot="1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5">
        <v>474</v>
      </c>
      <c r="I176" s="5">
        <v>439.56</v>
      </c>
      <c r="J176" s="5">
        <v>130.24</v>
      </c>
      <c r="K176" t="str">
        <f t="shared" si="10"/>
        <v>West</v>
      </c>
      <c r="L176" s="7" t="str">
        <f t="shared" si="11"/>
        <v>Beverages</v>
      </c>
      <c r="M176" s="7">
        <f t="shared" si="12"/>
        <v>474</v>
      </c>
      <c r="N176" s="7">
        <f t="shared" si="13"/>
        <v>439.56</v>
      </c>
      <c r="O176">
        <f t="shared" si="14"/>
        <v>208351.44</v>
      </c>
    </row>
    <row r="177" spans="1:15" ht="15" thickBot="1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5">
        <v>108</v>
      </c>
      <c r="I177" s="5">
        <v>162.01</v>
      </c>
      <c r="J177" s="5">
        <v>51.84</v>
      </c>
      <c r="K177" t="str">
        <f t="shared" si="10"/>
        <v>South</v>
      </c>
      <c r="L177" s="7" t="str">
        <f t="shared" si="11"/>
        <v>Furniture</v>
      </c>
      <c r="M177" s="7">
        <f t="shared" si="12"/>
        <v>108</v>
      </c>
      <c r="N177" s="7">
        <f t="shared" si="13"/>
        <v>162.01</v>
      </c>
      <c r="O177">
        <f t="shared" si="14"/>
        <v>17497.079999999998</v>
      </c>
    </row>
    <row r="178" spans="1:15" ht="29.4" thickBot="1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5">
        <v>406</v>
      </c>
      <c r="I178" s="5">
        <v>435.11</v>
      </c>
      <c r="J178" s="5">
        <v>190.79</v>
      </c>
      <c r="K178" t="str">
        <f t="shared" si="10"/>
        <v>East</v>
      </c>
      <c r="L178" s="7" t="str">
        <f t="shared" si="11"/>
        <v>Beverages</v>
      </c>
      <c r="M178" s="7">
        <f t="shared" si="12"/>
        <v>406</v>
      </c>
      <c r="N178" s="7">
        <f t="shared" si="13"/>
        <v>435.11</v>
      </c>
      <c r="O178">
        <f t="shared" si="14"/>
        <v>176654.66</v>
      </c>
    </row>
    <row r="179" spans="1:15" ht="15" thickBot="1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5">
        <v>498</v>
      </c>
      <c r="I179" s="5">
        <v>190.96</v>
      </c>
      <c r="J179" s="5">
        <v>47.35</v>
      </c>
      <c r="K179" t="str">
        <f t="shared" si="10"/>
        <v>East</v>
      </c>
      <c r="L179" s="7" t="str">
        <f t="shared" si="11"/>
        <v>Clothing</v>
      </c>
      <c r="M179" s="7">
        <f t="shared" si="12"/>
        <v>498</v>
      </c>
      <c r="N179" s="7">
        <f t="shared" si="13"/>
        <v>190.96</v>
      </c>
      <c r="O179">
        <f t="shared" si="14"/>
        <v>95098.08</v>
      </c>
    </row>
    <row r="180" spans="1:15" ht="15" thickBot="1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5">
        <v>48</v>
      </c>
      <c r="I180" s="5">
        <v>151.94999999999999</v>
      </c>
      <c r="J180" s="5">
        <v>195.43</v>
      </c>
      <c r="K180" t="str">
        <f t="shared" si="10"/>
        <v>North</v>
      </c>
      <c r="L180" s="7" t="str">
        <f t="shared" si="11"/>
        <v>Clothing</v>
      </c>
      <c r="M180" s="7">
        <f t="shared" si="12"/>
        <v>48</v>
      </c>
      <c r="N180" s="7">
        <f t="shared" si="13"/>
        <v>151.94999999999999</v>
      </c>
      <c r="O180">
        <f t="shared" si="14"/>
        <v>7293.5999999999995</v>
      </c>
    </row>
    <row r="181" spans="1:15" ht="15" thickBot="1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5">
        <v>280</v>
      </c>
      <c r="I181" s="5">
        <v>326.29000000000002</v>
      </c>
      <c r="J181" s="5">
        <v>368.28</v>
      </c>
      <c r="K181" t="str">
        <f t="shared" si="10"/>
        <v>East</v>
      </c>
      <c r="L181" s="7" t="str">
        <f t="shared" si="11"/>
        <v>Clothing</v>
      </c>
      <c r="M181" s="7">
        <f t="shared" si="12"/>
        <v>280</v>
      </c>
      <c r="N181" s="7">
        <f t="shared" si="13"/>
        <v>326.29000000000002</v>
      </c>
      <c r="O181">
        <f t="shared" si="14"/>
        <v>91361.200000000012</v>
      </c>
    </row>
    <row r="182" spans="1:15" ht="15" thickBot="1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5">
        <v>384</v>
      </c>
      <c r="I182" s="5">
        <v>167.55</v>
      </c>
      <c r="J182" s="5">
        <v>209.27</v>
      </c>
      <c r="K182" t="str">
        <f t="shared" si="10"/>
        <v>North</v>
      </c>
      <c r="L182" s="7" t="str">
        <f t="shared" si="11"/>
        <v>Clothing</v>
      </c>
      <c r="M182" s="7">
        <f t="shared" si="12"/>
        <v>384</v>
      </c>
      <c r="N182" s="7">
        <f t="shared" si="13"/>
        <v>167.55</v>
      </c>
      <c r="O182">
        <f t="shared" si="14"/>
        <v>64339.200000000004</v>
      </c>
    </row>
    <row r="183" spans="1:15" ht="29.4" thickBot="1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5">
        <v>294</v>
      </c>
      <c r="I183" s="5">
        <v>316.95</v>
      </c>
      <c r="J183" s="5">
        <v>247.37</v>
      </c>
      <c r="K183" t="str">
        <f t="shared" si="10"/>
        <v>East</v>
      </c>
      <c r="L183" s="7" t="str">
        <f t="shared" si="11"/>
        <v>Electronics</v>
      </c>
      <c r="M183" s="7">
        <f t="shared" si="12"/>
        <v>294</v>
      </c>
      <c r="N183" s="7">
        <f t="shared" si="13"/>
        <v>316.95</v>
      </c>
      <c r="O183">
        <f t="shared" si="14"/>
        <v>93183.3</v>
      </c>
    </row>
    <row r="184" spans="1:15" ht="15" thickBot="1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5">
        <v>166</v>
      </c>
      <c r="I184" s="5">
        <v>306.87</v>
      </c>
      <c r="J184" s="5">
        <v>64.34</v>
      </c>
      <c r="K184" t="str">
        <f t="shared" si="10"/>
        <v>South</v>
      </c>
      <c r="L184" s="7" t="str">
        <f t="shared" si="11"/>
        <v>Clothing</v>
      </c>
      <c r="M184" s="7">
        <f t="shared" si="12"/>
        <v>166</v>
      </c>
      <c r="N184" s="7">
        <f t="shared" si="13"/>
        <v>306.87</v>
      </c>
      <c r="O184">
        <f t="shared" si="14"/>
        <v>50940.42</v>
      </c>
    </row>
    <row r="185" spans="1:15" ht="15" thickBot="1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5">
        <v>84</v>
      </c>
      <c r="I185" s="5">
        <v>283.89999999999998</v>
      </c>
      <c r="J185" s="5">
        <v>19.41</v>
      </c>
      <c r="K185" t="str">
        <f t="shared" si="10"/>
        <v>East</v>
      </c>
      <c r="L185" s="7" t="str">
        <f t="shared" si="11"/>
        <v>Food</v>
      </c>
      <c r="M185" s="7">
        <f t="shared" si="12"/>
        <v>84</v>
      </c>
      <c r="N185" s="7">
        <f t="shared" si="13"/>
        <v>283.89999999999998</v>
      </c>
      <c r="O185">
        <f t="shared" si="14"/>
        <v>23847.599999999999</v>
      </c>
    </row>
    <row r="186" spans="1:15" ht="15" thickBot="1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5">
        <v>381</v>
      </c>
      <c r="I186" s="5">
        <v>193.31</v>
      </c>
      <c r="J186" s="5">
        <v>46.1</v>
      </c>
      <c r="K186" t="str">
        <f t="shared" si="10"/>
        <v>North</v>
      </c>
      <c r="L186" s="7" t="str">
        <f t="shared" si="11"/>
        <v>Food</v>
      </c>
      <c r="M186" s="7">
        <f t="shared" si="12"/>
        <v>381</v>
      </c>
      <c r="N186" s="7">
        <f t="shared" si="13"/>
        <v>193.31</v>
      </c>
      <c r="O186">
        <f t="shared" si="14"/>
        <v>73651.11</v>
      </c>
    </row>
    <row r="187" spans="1:15" ht="29.4" thickBot="1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5">
        <v>297</v>
      </c>
      <c r="I187" s="5">
        <v>276.51</v>
      </c>
      <c r="J187" s="5">
        <v>240.22</v>
      </c>
      <c r="K187" t="str">
        <f t="shared" si="10"/>
        <v>North</v>
      </c>
      <c r="L187" s="7" t="str">
        <f t="shared" si="11"/>
        <v>Electronics</v>
      </c>
      <c r="M187" s="7">
        <f t="shared" si="12"/>
        <v>297</v>
      </c>
      <c r="N187" s="7">
        <f t="shared" si="13"/>
        <v>276.51</v>
      </c>
      <c r="O187">
        <f t="shared" si="14"/>
        <v>82123.47</v>
      </c>
    </row>
    <row r="188" spans="1:15" ht="15" thickBot="1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5">
        <v>139</v>
      </c>
      <c r="I188" s="5">
        <v>300.26</v>
      </c>
      <c r="J188" s="5">
        <v>39.81</v>
      </c>
      <c r="K188" t="str">
        <f t="shared" si="10"/>
        <v>South</v>
      </c>
      <c r="L188" s="7" t="str">
        <f t="shared" si="11"/>
        <v>Clothing</v>
      </c>
      <c r="M188" s="7">
        <f t="shared" si="12"/>
        <v>139</v>
      </c>
      <c r="N188" s="7">
        <f t="shared" si="13"/>
        <v>300.26</v>
      </c>
      <c r="O188">
        <f t="shared" si="14"/>
        <v>41736.14</v>
      </c>
    </row>
    <row r="189" spans="1:15" ht="15" thickBot="1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5">
        <v>184</v>
      </c>
      <c r="I189" s="5">
        <v>275.12</v>
      </c>
      <c r="J189" s="5">
        <v>151.65</v>
      </c>
      <c r="K189" t="str">
        <f t="shared" si="10"/>
        <v>East</v>
      </c>
      <c r="L189" s="7" t="str">
        <f t="shared" si="11"/>
        <v>Clothing</v>
      </c>
      <c r="M189" s="7">
        <f t="shared" si="12"/>
        <v>184</v>
      </c>
      <c r="N189" s="7">
        <f t="shared" si="13"/>
        <v>275.12</v>
      </c>
      <c r="O189">
        <f t="shared" si="14"/>
        <v>50622.080000000002</v>
      </c>
    </row>
    <row r="190" spans="1:15" ht="15" thickBot="1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5">
        <v>471</v>
      </c>
      <c r="I190" s="5">
        <v>224.99</v>
      </c>
      <c r="J190" s="5">
        <v>220.94</v>
      </c>
      <c r="K190" t="str">
        <f t="shared" si="10"/>
        <v>East</v>
      </c>
      <c r="L190" s="7" t="str">
        <f t="shared" si="11"/>
        <v>Clothing</v>
      </c>
      <c r="M190" s="7">
        <f t="shared" si="12"/>
        <v>471</v>
      </c>
      <c r="N190" s="7">
        <f t="shared" si="13"/>
        <v>224.99</v>
      </c>
      <c r="O190">
        <f t="shared" si="14"/>
        <v>105970.29000000001</v>
      </c>
    </row>
    <row r="191" spans="1:15" ht="29.4" thickBot="1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5">
        <v>93</v>
      </c>
      <c r="I191" s="5">
        <v>12.26</v>
      </c>
      <c r="J191" s="5">
        <v>156.68</v>
      </c>
      <c r="K191" t="str">
        <f t="shared" si="10"/>
        <v>South</v>
      </c>
      <c r="L191" s="7" t="str">
        <f t="shared" si="11"/>
        <v>Beverages</v>
      </c>
      <c r="M191" s="7">
        <f t="shared" si="12"/>
        <v>93</v>
      </c>
      <c r="N191" s="7">
        <f t="shared" si="13"/>
        <v>12.26</v>
      </c>
      <c r="O191">
        <f t="shared" si="14"/>
        <v>1140.18</v>
      </c>
    </row>
    <row r="192" spans="1:15" ht="15" thickBot="1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5">
        <v>31</v>
      </c>
      <c r="I192" s="5">
        <v>295.60000000000002</v>
      </c>
      <c r="J192" s="5">
        <v>67.150000000000006</v>
      </c>
      <c r="K192" t="str">
        <f t="shared" si="10"/>
        <v>East</v>
      </c>
      <c r="L192" s="7" t="str">
        <f t="shared" si="11"/>
        <v>Furniture</v>
      </c>
      <c r="M192" s="7">
        <f t="shared" si="12"/>
        <v>31</v>
      </c>
      <c r="N192" s="7">
        <f t="shared" si="13"/>
        <v>295.60000000000002</v>
      </c>
      <c r="O192">
        <f t="shared" si="14"/>
        <v>9163.6</v>
      </c>
    </row>
    <row r="193" spans="1:15" ht="29.4" thickBot="1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5">
        <v>468</v>
      </c>
      <c r="I193" s="5">
        <v>88.38</v>
      </c>
      <c r="J193" s="5">
        <v>110.97</v>
      </c>
      <c r="K193" t="str">
        <f t="shared" si="10"/>
        <v>East</v>
      </c>
      <c r="L193" s="7" t="str">
        <f t="shared" si="11"/>
        <v>Beverages</v>
      </c>
      <c r="M193" s="7">
        <f t="shared" si="12"/>
        <v>468</v>
      </c>
      <c r="N193" s="7">
        <f t="shared" si="13"/>
        <v>88.38</v>
      </c>
      <c r="O193">
        <f t="shared" si="14"/>
        <v>41361.839999999997</v>
      </c>
    </row>
    <row r="194" spans="1:15" ht="15" thickBot="1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5">
        <v>36</v>
      </c>
      <c r="I194" s="5">
        <v>323.08</v>
      </c>
      <c r="J194" s="5">
        <v>371.47</v>
      </c>
      <c r="K194" t="str">
        <f t="shared" si="10"/>
        <v>North</v>
      </c>
      <c r="L194" s="7" t="str">
        <f t="shared" si="11"/>
        <v>Furniture</v>
      </c>
      <c r="M194" s="7">
        <f t="shared" si="12"/>
        <v>36</v>
      </c>
      <c r="N194" s="7">
        <f t="shared" si="13"/>
        <v>323.08</v>
      </c>
      <c r="O194">
        <f t="shared" si="14"/>
        <v>11630.88</v>
      </c>
    </row>
    <row r="195" spans="1:15" ht="15" thickBot="1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5">
        <v>204</v>
      </c>
      <c r="I195" s="5">
        <v>380.88</v>
      </c>
      <c r="J195" s="5">
        <v>271.04000000000002</v>
      </c>
      <c r="K195" t="str">
        <f t="shared" ref="K195:L258" si="15">IF(B195="", "West", B195:B544)</f>
        <v>East</v>
      </c>
      <c r="L195" s="7" t="str">
        <f t="shared" ref="L195:L258" si="16">IF(D195="", "Beverages", D195)</f>
        <v>Clothing</v>
      </c>
      <c r="M195" s="7">
        <f t="shared" ref="M195:M258" si="17">IF(H195="",AVERAGE($H$2:$H$351),H195)</f>
        <v>204</v>
      </c>
      <c r="N195" s="7">
        <f t="shared" ref="N195:N258" si="18">IF(I195="",AVERAGE($I$2:$I$351),I195)</f>
        <v>380.88</v>
      </c>
      <c r="O195">
        <f t="shared" ref="O195:O258" si="19">H195*I195</f>
        <v>77699.520000000004</v>
      </c>
    </row>
    <row r="196" spans="1:15" ht="15" thickBot="1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5">
        <v>346</v>
      </c>
      <c r="I196" s="5">
        <v>252.72</v>
      </c>
      <c r="J196" s="5">
        <v>199.43</v>
      </c>
      <c r="K196" t="str">
        <f t="shared" si="15"/>
        <v>East</v>
      </c>
      <c r="L196" s="7" t="str">
        <f t="shared" si="16"/>
        <v>Clothing</v>
      </c>
      <c r="M196" s="7">
        <f t="shared" si="17"/>
        <v>346</v>
      </c>
      <c r="N196" s="7">
        <f t="shared" si="18"/>
        <v>252.72</v>
      </c>
      <c r="O196">
        <f t="shared" si="19"/>
        <v>87441.12</v>
      </c>
    </row>
    <row r="197" spans="1:15" ht="29.4" thickBot="1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5">
        <v>391</v>
      </c>
      <c r="I197" s="5">
        <v>273.47000000000003</v>
      </c>
      <c r="J197" s="5">
        <v>7.06</v>
      </c>
      <c r="K197" t="str">
        <f t="shared" si="15"/>
        <v>South</v>
      </c>
      <c r="L197" s="7" t="str">
        <f t="shared" si="16"/>
        <v>Beverages</v>
      </c>
      <c r="M197" s="7">
        <f t="shared" si="17"/>
        <v>391</v>
      </c>
      <c r="N197" s="7">
        <f t="shared" si="18"/>
        <v>273.47000000000003</v>
      </c>
      <c r="O197">
        <f t="shared" si="19"/>
        <v>106926.77</v>
      </c>
    </row>
    <row r="198" spans="1:15" ht="29.4" thickBot="1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5">
        <v>245</v>
      </c>
      <c r="I198" s="5">
        <v>475.98</v>
      </c>
      <c r="J198" s="5">
        <v>396.98</v>
      </c>
      <c r="K198" t="str">
        <f t="shared" si="15"/>
        <v>South</v>
      </c>
      <c r="L198" s="7" t="str">
        <f t="shared" si="16"/>
        <v>Beverages</v>
      </c>
      <c r="M198" s="7">
        <f t="shared" si="17"/>
        <v>245</v>
      </c>
      <c r="N198" s="7">
        <f t="shared" si="18"/>
        <v>475.98</v>
      </c>
      <c r="O198">
        <f t="shared" si="19"/>
        <v>116615.1</v>
      </c>
    </row>
    <row r="199" spans="1:15" ht="15" thickBot="1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5">
        <v>449</v>
      </c>
      <c r="I199" s="5">
        <v>424.35</v>
      </c>
      <c r="J199" s="5">
        <v>269.24</v>
      </c>
      <c r="K199" t="str">
        <f t="shared" si="15"/>
        <v>West</v>
      </c>
      <c r="L199" s="7" t="str">
        <f t="shared" si="16"/>
        <v>Furniture</v>
      </c>
      <c r="M199" s="7">
        <f t="shared" si="17"/>
        <v>449</v>
      </c>
      <c r="N199" s="7">
        <f t="shared" si="18"/>
        <v>424.35</v>
      </c>
      <c r="O199">
        <f t="shared" si="19"/>
        <v>190533.15000000002</v>
      </c>
    </row>
    <row r="200" spans="1:15" ht="15" thickBot="1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5">
        <v>101</v>
      </c>
      <c r="I200" s="5">
        <v>457.55</v>
      </c>
      <c r="J200" s="5">
        <v>128.13999999999999</v>
      </c>
      <c r="K200" t="str">
        <f t="shared" si="15"/>
        <v>North</v>
      </c>
      <c r="L200" s="7" t="str">
        <f t="shared" si="16"/>
        <v>Food</v>
      </c>
      <c r="M200" s="7">
        <f t="shared" si="17"/>
        <v>101</v>
      </c>
      <c r="N200" s="7">
        <f t="shared" si="18"/>
        <v>457.55</v>
      </c>
      <c r="O200">
        <f t="shared" si="19"/>
        <v>46212.55</v>
      </c>
    </row>
    <row r="201" spans="1:15" ht="15" thickBot="1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>
        <v>255.90289999999999</v>
      </c>
      <c r="I201" s="5">
        <v>407.81</v>
      </c>
      <c r="J201" s="5">
        <v>351.95</v>
      </c>
      <c r="K201" t="str">
        <f t="shared" si="15"/>
        <v>East</v>
      </c>
      <c r="L201" s="7" t="str">
        <f t="shared" si="16"/>
        <v>Furniture</v>
      </c>
      <c r="M201" s="7">
        <f t="shared" si="17"/>
        <v>255.90289999999999</v>
      </c>
      <c r="N201" s="7">
        <f t="shared" si="18"/>
        <v>407.81</v>
      </c>
      <c r="O201">
        <f t="shared" si="19"/>
        <v>104359.76164899999</v>
      </c>
    </row>
    <row r="202" spans="1:15" ht="29.4" thickBot="1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5">
        <v>30</v>
      </c>
      <c r="I202" s="5">
        <v>58.91</v>
      </c>
      <c r="J202" s="5">
        <v>104.86</v>
      </c>
      <c r="K202" t="str">
        <f t="shared" si="15"/>
        <v>East</v>
      </c>
      <c r="L202" s="7" t="str">
        <f t="shared" si="16"/>
        <v>Beverages</v>
      </c>
      <c r="M202" s="7">
        <f t="shared" si="17"/>
        <v>30</v>
      </c>
      <c r="N202" s="7">
        <f t="shared" si="18"/>
        <v>58.91</v>
      </c>
      <c r="O202">
        <f t="shared" si="19"/>
        <v>1767.3</v>
      </c>
    </row>
    <row r="203" spans="1:15" ht="29.4" thickBot="1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5">
        <v>312</v>
      </c>
      <c r="I203" s="5">
        <v>78.75</v>
      </c>
      <c r="J203" s="5">
        <v>218.52</v>
      </c>
      <c r="K203" t="str">
        <f t="shared" si="15"/>
        <v>West</v>
      </c>
      <c r="L203" s="7" t="str">
        <f t="shared" si="16"/>
        <v>Beverages</v>
      </c>
      <c r="M203" s="7">
        <f t="shared" si="17"/>
        <v>312</v>
      </c>
      <c r="N203" s="7">
        <f t="shared" si="18"/>
        <v>78.75</v>
      </c>
      <c r="O203">
        <f t="shared" si="19"/>
        <v>24570</v>
      </c>
    </row>
    <row r="204" spans="1:15" ht="29.4" thickBot="1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5">
        <v>473</v>
      </c>
      <c r="I204" s="5">
        <v>265.68</v>
      </c>
      <c r="J204" s="5">
        <v>255.16</v>
      </c>
      <c r="K204" t="str">
        <f t="shared" si="15"/>
        <v>East</v>
      </c>
      <c r="L204" s="7" t="str">
        <f t="shared" si="16"/>
        <v>Electronics</v>
      </c>
      <c r="M204" s="7">
        <f t="shared" si="17"/>
        <v>473</v>
      </c>
      <c r="N204" s="7">
        <f t="shared" si="18"/>
        <v>265.68</v>
      </c>
      <c r="O204">
        <f t="shared" si="19"/>
        <v>125666.64</v>
      </c>
    </row>
    <row r="205" spans="1:15" ht="29.4" thickBot="1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5">
        <v>366</v>
      </c>
      <c r="I205" s="5">
        <v>126.8</v>
      </c>
      <c r="J205" s="5">
        <v>89.98</v>
      </c>
      <c r="K205" t="str">
        <f t="shared" si="15"/>
        <v>North</v>
      </c>
      <c r="L205" s="7" t="str">
        <f t="shared" si="16"/>
        <v>Beverages</v>
      </c>
      <c r="M205" s="7">
        <f t="shared" si="17"/>
        <v>366</v>
      </c>
      <c r="N205" s="7">
        <f t="shared" si="18"/>
        <v>126.8</v>
      </c>
      <c r="O205">
        <f t="shared" si="19"/>
        <v>46408.799999999996</v>
      </c>
    </row>
    <row r="206" spans="1:15" ht="29.4" thickBot="1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5">
        <v>452</v>
      </c>
      <c r="I206" s="5">
        <v>240.96</v>
      </c>
      <c r="J206" s="5">
        <v>391.4</v>
      </c>
      <c r="K206" t="str">
        <f t="shared" si="15"/>
        <v>West</v>
      </c>
      <c r="L206" s="7" t="str">
        <f t="shared" si="16"/>
        <v>Electronics</v>
      </c>
      <c r="M206" s="7">
        <f t="shared" si="17"/>
        <v>452</v>
      </c>
      <c r="N206" s="7">
        <f t="shared" si="18"/>
        <v>240.96</v>
      </c>
      <c r="O206">
        <f t="shared" si="19"/>
        <v>108913.92</v>
      </c>
    </row>
    <row r="207" spans="1:15" ht="15" thickBot="1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5">
        <v>93</v>
      </c>
      <c r="I207" s="5">
        <v>200.21</v>
      </c>
      <c r="J207" s="5">
        <v>299.77999999999997</v>
      </c>
      <c r="K207" t="str">
        <f t="shared" si="15"/>
        <v>North</v>
      </c>
      <c r="L207" s="7" t="str">
        <f t="shared" si="16"/>
        <v>Food</v>
      </c>
      <c r="M207" s="7">
        <f t="shared" si="17"/>
        <v>93</v>
      </c>
      <c r="N207" s="7">
        <f t="shared" si="18"/>
        <v>200.21</v>
      </c>
      <c r="O207">
        <f t="shared" si="19"/>
        <v>18619.530000000002</v>
      </c>
    </row>
    <row r="208" spans="1:15" ht="15" thickBot="1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5">
        <v>271</v>
      </c>
      <c r="I208" s="5">
        <v>276.95999999999998</v>
      </c>
      <c r="J208" s="5">
        <v>224.01</v>
      </c>
      <c r="K208" t="str">
        <f t="shared" si="15"/>
        <v>West</v>
      </c>
      <c r="L208" s="7" t="str">
        <f t="shared" si="16"/>
        <v>Furniture</v>
      </c>
      <c r="M208" s="7">
        <f t="shared" si="17"/>
        <v>271</v>
      </c>
      <c r="N208" s="7">
        <f t="shared" si="18"/>
        <v>276.95999999999998</v>
      </c>
      <c r="O208">
        <f t="shared" si="19"/>
        <v>75056.159999999989</v>
      </c>
    </row>
    <row r="209" spans="1:15" ht="15" thickBot="1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5">
        <v>156</v>
      </c>
      <c r="I209" s="5">
        <v>374.7</v>
      </c>
      <c r="J209" s="5">
        <v>73.88</v>
      </c>
      <c r="K209" t="str">
        <f t="shared" si="15"/>
        <v>West</v>
      </c>
      <c r="L209" s="7" t="str">
        <f t="shared" si="16"/>
        <v>Furniture</v>
      </c>
      <c r="M209" s="7">
        <f t="shared" si="17"/>
        <v>156</v>
      </c>
      <c r="N209" s="7">
        <f t="shared" si="18"/>
        <v>374.7</v>
      </c>
      <c r="O209">
        <f t="shared" si="19"/>
        <v>58453.2</v>
      </c>
    </row>
    <row r="210" spans="1:15" ht="29.4" thickBot="1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5">
        <v>450</v>
      </c>
      <c r="I210" s="5">
        <v>359.17</v>
      </c>
      <c r="J210" s="5">
        <v>23.44</v>
      </c>
      <c r="K210" t="str">
        <f t="shared" si="15"/>
        <v>South</v>
      </c>
      <c r="L210" s="7" t="str">
        <f t="shared" si="16"/>
        <v>Electronics</v>
      </c>
      <c r="M210" s="7">
        <f t="shared" si="17"/>
        <v>450</v>
      </c>
      <c r="N210" s="7">
        <f t="shared" si="18"/>
        <v>359.17</v>
      </c>
      <c r="O210">
        <f t="shared" si="19"/>
        <v>161626.5</v>
      </c>
    </row>
    <row r="211" spans="1:15" ht="15" thickBot="1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5">
        <v>462</v>
      </c>
      <c r="I211" s="5">
        <v>263.01</v>
      </c>
      <c r="J211" s="5">
        <v>129.38</v>
      </c>
      <c r="K211" t="str">
        <f t="shared" si="15"/>
        <v>North</v>
      </c>
      <c r="L211" s="7" t="str">
        <f t="shared" si="16"/>
        <v>Furniture</v>
      </c>
      <c r="M211" s="7">
        <f t="shared" si="17"/>
        <v>462</v>
      </c>
      <c r="N211" s="7">
        <f t="shared" si="18"/>
        <v>263.01</v>
      </c>
      <c r="O211">
        <f t="shared" si="19"/>
        <v>121510.62</v>
      </c>
    </row>
    <row r="212" spans="1:15" ht="15" thickBot="1">
      <c r="A212" s="3" t="s">
        <v>239</v>
      </c>
      <c r="B212" s="3" t="s">
        <v>11</v>
      </c>
      <c r="C212" s="3" t="s">
        <v>50</v>
      </c>
      <c r="D212" s="7" t="s">
        <v>13</v>
      </c>
      <c r="E212" s="3" t="s">
        <v>14</v>
      </c>
      <c r="F212" s="3" t="s">
        <v>28</v>
      </c>
      <c r="G212" s="4">
        <v>45137</v>
      </c>
      <c r="H212" s="5">
        <v>396</v>
      </c>
      <c r="I212" s="5">
        <v>412.08</v>
      </c>
      <c r="J212" s="5">
        <v>301.77</v>
      </c>
      <c r="K212" t="str">
        <f t="shared" si="15"/>
        <v>East</v>
      </c>
      <c r="L212" s="7" t="str">
        <f t="shared" si="16"/>
        <v>Beverages</v>
      </c>
      <c r="M212" s="7">
        <f t="shared" si="17"/>
        <v>396</v>
      </c>
      <c r="N212" s="7">
        <f t="shared" si="18"/>
        <v>412.08</v>
      </c>
      <c r="O212">
        <f t="shared" si="19"/>
        <v>163183.67999999999</v>
      </c>
    </row>
    <row r="213" spans="1:15" ht="15" thickBot="1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5">
        <v>266</v>
      </c>
      <c r="I213" s="5">
        <v>218.28</v>
      </c>
      <c r="J213" s="5">
        <v>109.19</v>
      </c>
      <c r="K213" t="str">
        <f t="shared" si="15"/>
        <v>East</v>
      </c>
      <c r="L213" s="7" t="str">
        <f t="shared" si="16"/>
        <v>Clothing</v>
      </c>
      <c r="M213" s="7">
        <f t="shared" si="17"/>
        <v>266</v>
      </c>
      <c r="N213" s="7">
        <f t="shared" si="18"/>
        <v>218.28</v>
      </c>
      <c r="O213">
        <f t="shared" si="19"/>
        <v>58062.48</v>
      </c>
    </row>
    <row r="214" spans="1:15" ht="29.4" thickBot="1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5">
        <v>67</v>
      </c>
      <c r="I214" s="5">
        <v>448.87</v>
      </c>
      <c r="J214" s="5">
        <v>216.74</v>
      </c>
      <c r="K214" t="str">
        <f t="shared" si="15"/>
        <v>North</v>
      </c>
      <c r="L214" s="7" t="str">
        <f t="shared" si="16"/>
        <v>Electronics</v>
      </c>
      <c r="M214" s="7">
        <f t="shared" si="17"/>
        <v>67</v>
      </c>
      <c r="N214" s="7">
        <f t="shared" si="18"/>
        <v>448.87</v>
      </c>
      <c r="O214">
        <f t="shared" si="19"/>
        <v>30074.29</v>
      </c>
    </row>
    <row r="215" spans="1:15" ht="15" thickBot="1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5">
        <v>389</v>
      </c>
      <c r="I215" s="5">
        <v>40.28</v>
      </c>
      <c r="J215" s="5">
        <v>291.72000000000003</v>
      </c>
      <c r="K215" t="str">
        <f t="shared" si="15"/>
        <v>East</v>
      </c>
      <c r="L215" s="7" t="str">
        <f t="shared" si="16"/>
        <v>Furniture</v>
      </c>
      <c r="M215" s="7">
        <f t="shared" si="17"/>
        <v>389</v>
      </c>
      <c r="N215" s="7">
        <f t="shared" si="18"/>
        <v>40.28</v>
      </c>
      <c r="O215">
        <f t="shared" si="19"/>
        <v>15668.92</v>
      </c>
    </row>
    <row r="216" spans="1:15" ht="29.4" thickBot="1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5">
        <v>431</v>
      </c>
      <c r="I216" s="5">
        <v>477.56</v>
      </c>
      <c r="J216" s="5">
        <v>44.96</v>
      </c>
      <c r="K216" t="str">
        <f t="shared" si="15"/>
        <v>East</v>
      </c>
      <c r="L216" s="7" t="str">
        <f t="shared" si="16"/>
        <v>Electronics</v>
      </c>
      <c r="M216" s="7">
        <f t="shared" si="17"/>
        <v>431</v>
      </c>
      <c r="N216" s="7">
        <f t="shared" si="18"/>
        <v>477.56</v>
      </c>
      <c r="O216">
        <f t="shared" si="19"/>
        <v>205828.36000000002</v>
      </c>
    </row>
    <row r="217" spans="1:15" ht="29.4" thickBot="1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5">
        <v>24</v>
      </c>
      <c r="I217" s="5">
        <v>329.07</v>
      </c>
      <c r="J217" s="5">
        <v>274.75</v>
      </c>
      <c r="K217" t="str">
        <f t="shared" si="15"/>
        <v>North</v>
      </c>
      <c r="L217" s="7" t="str">
        <f t="shared" si="16"/>
        <v>Electronics</v>
      </c>
      <c r="M217" s="7">
        <f t="shared" si="17"/>
        <v>24</v>
      </c>
      <c r="N217" s="7">
        <f t="shared" si="18"/>
        <v>329.07</v>
      </c>
      <c r="O217">
        <f t="shared" si="19"/>
        <v>7897.68</v>
      </c>
    </row>
    <row r="218" spans="1:15" ht="15" thickBot="1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5">
        <v>171</v>
      </c>
      <c r="I218" s="5">
        <v>193.14</v>
      </c>
      <c r="J218" s="5">
        <v>38.56</v>
      </c>
      <c r="K218" t="str">
        <f t="shared" si="15"/>
        <v>West</v>
      </c>
      <c r="L218" s="7" t="str">
        <f t="shared" si="16"/>
        <v>Clothing</v>
      </c>
      <c r="M218" s="7">
        <f t="shared" si="17"/>
        <v>171</v>
      </c>
      <c r="N218" s="7">
        <f t="shared" si="18"/>
        <v>193.14</v>
      </c>
      <c r="O218">
        <f t="shared" si="19"/>
        <v>33026.939999999995</v>
      </c>
    </row>
    <row r="219" spans="1:15" ht="29.4" thickBot="1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5">
        <v>454</v>
      </c>
      <c r="I219" s="5">
        <v>102.59</v>
      </c>
      <c r="J219" s="5">
        <v>386.12</v>
      </c>
      <c r="K219" t="str">
        <f t="shared" si="15"/>
        <v>North</v>
      </c>
      <c r="L219" s="7" t="str">
        <f t="shared" si="16"/>
        <v>Beverages</v>
      </c>
      <c r="M219" s="7">
        <f t="shared" si="17"/>
        <v>454</v>
      </c>
      <c r="N219" s="7">
        <f t="shared" si="18"/>
        <v>102.59</v>
      </c>
      <c r="O219">
        <f t="shared" si="19"/>
        <v>46575.86</v>
      </c>
    </row>
    <row r="220" spans="1:15" ht="29.4" thickBot="1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5">
        <v>172</v>
      </c>
      <c r="I220" s="5">
        <v>242.2</v>
      </c>
      <c r="J220" s="5">
        <v>196.38</v>
      </c>
      <c r="K220" t="str">
        <f t="shared" si="15"/>
        <v>West</v>
      </c>
      <c r="L220" s="7" t="str">
        <f t="shared" si="16"/>
        <v>Electronics</v>
      </c>
      <c r="M220" s="7">
        <f t="shared" si="17"/>
        <v>172</v>
      </c>
      <c r="N220" s="7">
        <f t="shared" si="18"/>
        <v>242.2</v>
      </c>
      <c r="O220">
        <f t="shared" si="19"/>
        <v>41658.400000000001</v>
      </c>
    </row>
    <row r="221" spans="1:15" ht="15" thickBot="1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5">
        <v>329</v>
      </c>
      <c r="I221" s="5">
        <v>101.31</v>
      </c>
      <c r="J221" s="5">
        <v>61.97</v>
      </c>
      <c r="K221" t="str">
        <f t="shared" si="15"/>
        <v>East</v>
      </c>
      <c r="L221" s="7" t="str">
        <f t="shared" si="16"/>
        <v>Furniture</v>
      </c>
      <c r="M221" s="7">
        <f t="shared" si="17"/>
        <v>329</v>
      </c>
      <c r="N221" s="7">
        <f t="shared" si="18"/>
        <v>101.31</v>
      </c>
      <c r="O221">
        <f t="shared" si="19"/>
        <v>33330.99</v>
      </c>
    </row>
    <row r="222" spans="1:15" ht="15" thickBot="1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5">
        <v>290</v>
      </c>
      <c r="I222" s="5">
        <v>87.33</v>
      </c>
      <c r="J222" s="5">
        <v>138.27000000000001</v>
      </c>
      <c r="K222" t="str">
        <f t="shared" si="15"/>
        <v>East</v>
      </c>
      <c r="L222" s="7" t="str">
        <f t="shared" si="16"/>
        <v>Food</v>
      </c>
      <c r="M222" s="7">
        <f t="shared" si="17"/>
        <v>290</v>
      </c>
      <c r="N222" s="7">
        <f t="shared" si="18"/>
        <v>87.33</v>
      </c>
      <c r="O222">
        <f t="shared" si="19"/>
        <v>25325.7</v>
      </c>
    </row>
    <row r="223" spans="1:15" ht="29.4" thickBot="1">
      <c r="A223" s="3" t="s">
        <v>250</v>
      </c>
      <c r="B223" s="3" t="s">
        <v>17</v>
      </c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5">
        <v>289</v>
      </c>
      <c r="I223" s="5">
        <v>310.58999999999997</v>
      </c>
      <c r="J223" s="5">
        <v>166.54</v>
      </c>
      <c r="K223" t="str">
        <f t="shared" si="15"/>
        <v>West</v>
      </c>
      <c r="L223" s="7" t="str">
        <f t="shared" si="16"/>
        <v>Electronics</v>
      </c>
      <c r="M223" s="7">
        <f t="shared" si="17"/>
        <v>289</v>
      </c>
      <c r="N223" s="7">
        <f t="shared" si="18"/>
        <v>310.58999999999997</v>
      </c>
      <c r="O223">
        <f t="shared" si="19"/>
        <v>89760.51</v>
      </c>
    </row>
    <row r="224" spans="1:15" ht="29.4" thickBot="1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5">
        <v>21</v>
      </c>
      <c r="I224" s="5">
        <v>263.93</v>
      </c>
      <c r="J224" s="5">
        <v>303.76</v>
      </c>
      <c r="K224" t="str">
        <f t="shared" si="15"/>
        <v>South</v>
      </c>
      <c r="L224" s="7" t="str">
        <f t="shared" si="16"/>
        <v>Electronics</v>
      </c>
      <c r="M224" s="7">
        <f t="shared" si="17"/>
        <v>21</v>
      </c>
      <c r="N224" s="7">
        <f t="shared" si="18"/>
        <v>263.93</v>
      </c>
      <c r="O224">
        <f t="shared" si="19"/>
        <v>5542.53</v>
      </c>
    </row>
    <row r="225" spans="1:15" ht="15" thickBot="1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5">
        <v>283</v>
      </c>
      <c r="I225" s="5">
        <v>336.7</v>
      </c>
      <c r="J225" s="5">
        <v>297.88</v>
      </c>
      <c r="K225" t="str">
        <f t="shared" si="15"/>
        <v>West</v>
      </c>
      <c r="L225" s="7" t="str">
        <f t="shared" si="16"/>
        <v>Clothing</v>
      </c>
      <c r="M225" s="7">
        <f t="shared" si="17"/>
        <v>283</v>
      </c>
      <c r="N225" s="7">
        <f t="shared" si="18"/>
        <v>336.7</v>
      </c>
      <c r="O225">
        <f t="shared" si="19"/>
        <v>95286.099999999991</v>
      </c>
    </row>
    <row r="226" spans="1:15" ht="29.4" thickBot="1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5">
        <v>280</v>
      </c>
      <c r="I226" s="5">
        <v>465.15</v>
      </c>
      <c r="J226" s="5">
        <v>245.55</v>
      </c>
      <c r="K226" t="str">
        <f t="shared" si="15"/>
        <v>South</v>
      </c>
      <c r="L226" s="7" t="str">
        <f t="shared" si="16"/>
        <v>Beverages</v>
      </c>
      <c r="M226" s="7">
        <f t="shared" si="17"/>
        <v>280</v>
      </c>
      <c r="N226" s="7">
        <f t="shared" si="18"/>
        <v>465.15</v>
      </c>
      <c r="O226">
        <f t="shared" si="19"/>
        <v>130242</v>
      </c>
    </row>
    <row r="227" spans="1:15" ht="15" thickBot="1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5">
        <v>217</v>
      </c>
      <c r="I227" s="5">
        <v>268.47000000000003</v>
      </c>
      <c r="J227" s="5">
        <v>44.16</v>
      </c>
      <c r="K227" t="str">
        <f t="shared" si="15"/>
        <v>South</v>
      </c>
      <c r="L227" s="7" t="str">
        <f t="shared" si="16"/>
        <v>Food</v>
      </c>
      <c r="M227" s="7">
        <f t="shared" si="17"/>
        <v>217</v>
      </c>
      <c r="N227" s="7">
        <f t="shared" si="18"/>
        <v>268.47000000000003</v>
      </c>
      <c r="O227">
        <f t="shared" si="19"/>
        <v>58257.990000000005</v>
      </c>
    </row>
    <row r="228" spans="1:15" ht="15" thickBot="1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5">
        <v>36</v>
      </c>
      <c r="I228" s="5">
        <v>292.56</v>
      </c>
      <c r="J228" s="5">
        <v>62.32</v>
      </c>
      <c r="K228" t="str">
        <f t="shared" si="15"/>
        <v>North</v>
      </c>
      <c r="L228" s="7" t="str">
        <f t="shared" si="16"/>
        <v>Furniture</v>
      </c>
      <c r="M228" s="7">
        <f t="shared" si="17"/>
        <v>36</v>
      </c>
      <c r="N228" s="7">
        <f t="shared" si="18"/>
        <v>292.56</v>
      </c>
      <c r="O228">
        <f t="shared" si="19"/>
        <v>10532.16</v>
      </c>
    </row>
    <row r="229" spans="1:15" ht="15" thickBot="1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>
        <v>255.90289999999999</v>
      </c>
      <c r="I229" s="5">
        <v>49.37</v>
      </c>
      <c r="J229" s="5">
        <v>39.32</v>
      </c>
      <c r="K229" t="str">
        <f t="shared" si="15"/>
        <v>South</v>
      </c>
      <c r="L229" s="7" t="str">
        <f t="shared" si="16"/>
        <v>Food</v>
      </c>
      <c r="M229" s="7">
        <f t="shared" si="17"/>
        <v>255.90289999999999</v>
      </c>
      <c r="N229" s="7">
        <f t="shared" si="18"/>
        <v>49.37</v>
      </c>
      <c r="O229">
        <f t="shared" si="19"/>
        <v>12633.926172999998</v>
      </c>
    </row>
    <row r="230" spans="1:15" ht="15" thickBot="1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5">
        <v>69</v>
      </c>
      <c r="I230" s="5">
        <v>360.23</v>
      </c>
      <c r="J230" s="5">
        <v>231.71</v>
      </c>
      <c r="K230" t="str">
        <f t="shared" si="15"/>
        <v>North</v>
      </c>
      <c r="L230" s="7" t="str">
        <f t="shared" si="16"/>
        <v>Furniture</v>
      </c>
      <c r="M230" s="7">
        <f t="shared" si="17"/>
        <v>69</v>
      </c>
      <c r="N230" s="7">
        <f t="shared" si="18"/>
        <v>360.23</v>
      </c>
      <c r="O230">
        <f t="shared" si="19"/>
        <v>24855.870000000003</v>
      </c>
    </row>
    <row r="231" spans="1:15" ht="29.4" thickBot="1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5">
        <v>439</v>
      </c>
      <c r="I231" s="5">
        <v>202.95</v>
      </c>
      <c r="J231" s="5">
        <v>351.1</v>
      </c>
      <c r="K231" t="str">
        <f t="shared" si="15"/>
        <v>North</v>
      </c>
      <c r="L231" s="7" t="str">
        <f t="shared" si="16"/>
        <v>Beverages</v>
      </c>
      <c r="M231" s="7">
        <f t="shared" si="17"/>
        <v>439</v>
      </c>
      <c r="N231" s="7">
        <f t="shared" si="18"/>
        <v>202.95</v>
      </c>
      <c r="O231">
        <f t="shared" si="19"/>
        <v>89095.049999999988</v>
      </c>
    </row>
    <row r="232" spans="1:15" ht="15" thickBot="1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5">
        <v>482</v>
      </c>
      <c r="I232" s="5">
        <v>488.48</v>
      </c>
      <c r="J232" s="5">
        <v>174.65</v>
      </c>
      <c r="K232" t="str">
        <f t="shared" si="15"/>
        <v>South</v>
      </c>
      <c r="L232" s="7" t="str">
        <f t="shared" si="16"/>
        <v>Furniture</v>
      </c>
      <c r="M232" s="7">
        <f t="shared" si="17"/>
        <v>482</v>
      </c>
      <c r="N232" s="7">
        <f t="shared" si="18"/>
        <v>488.48</v>
      </c>
      <c r="O232">
        <f t="shared" si="19"/>
        <v>235447.36000000002</v>
      </c>
    </row>
    <row r="233" spans="1:15" ht="15" thickBot="1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5">
        <v>154</v>
      </c>
      <c r="I233" s="5">
        <v>412.47</v>
      </c>
      <c r="J233" s="5">
        <v>66.02</v>
      </c>
      <c r="K233" t="str">
        <f t="shared" si="15"/>
        <v>West</v>
      </c>
      <c r="L233" s="7" t="str">
        <f t="shared" si="16"/>
        <v>Clothing</v>
      </c>
      <c r="M233" s="7">
        <f t="shared" si="17"/>
        <v>154</v>
      </c>
      <c r="N233" s="7">
        <f t="shared" si="18"/>
        <v>412.47</v>
      </c>
      <c r="O233">
        <f t="shared" si="19"/>
        <v>63520.380000000005</v>
      </c>
    </row>
    <row r="234" spans="1:15" ht="15" thickBot="1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5">
        <v>102</v>
      </c>
      <c r="I234" s="5">
        <v>263.63</v>
      </c>
      <c r="J234" s="5">
        <v>224.1</v>
      </c>
      <c r="K234" t="str">
        <f t="shared" si="15"/>
        <v>West</v>
      </c>
      <c r="L234" s="7" t="str">
        <f t="shared" si="16"/>
        <v>Clothing</v>
      </c>
      <c r="M234" s="7">
        <f t="shared" si="17"/>
        <v>102</v>
      </c>
      <c r="N234" s="7">
        <f t="shared" si="18"/>
        <v>263.63</v>
      </c>
      <c r="O234">
        <f t="shared" si="19"/>
        <v>26890.26</v>
      </c>
    </row>
    <row r="235" spans="1:15" ht="15" thickBot="1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5">
        <v>318</v>
      </c>
      <c r="I235" s="5">
        <v>66</v>
      </c>
      <c r="J235" s="5">
        <v>325.08</v>
      </c>
      <c r="K235" t="str">
        <f t="shared" si="15"/>
        <v>West</v>
      </c>
      <c r="L235" s="7" t="str">
        <f t="shared" si="16"/>
        <v>Clothing</v>
      </c>
      <c r="M235" s="7">
        <f t="shared" si="17"/>
        <v>318</v>
      </c>
      <c r="N235" s="7">
        <f t="shared" si="18"/>
        <v>66</v>
      </c>
      <c r="O235">
        <f t="shared" si="19"/>
        <v>20988</v>
      </c>
    </row>
    <row r="236" spans="1:15" ht="15" thickBot="1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5">
        <v>17</v>
      </c>
      <c r="I236" s="5">
        <v>430.41</v>
      </c>
      <c r="J236" s="5">
        <v>297.2</v>
      </c>
      <c r="K236" t="str">
        <f t="shared" si="15"/>
        <v>West</v>
      </c>
      <c r="L236" s="7" t="str">
        <f t="shared" si="16"/>
        <v>Clothing</v>
      </c>
      <c r="M236" s="7">
        <f t="shared" si="17"/>
        <v>17</v>
      </c>
      <c r="N236" s="7">
        <f t="shared" si="18"/>
        <v>430.41</v>
      </c>
      <c r="O236">
        <f t="shared" si="19"/>
        <v>7316.97</v>
      </c>
    </row>
    <row r="237" spans="1:15" ht="15" thickBot="1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5">
        <v>88</v>
      </c>
      <c r="I237" s="5">
        <v>400.89</v>
      </c>
      <c r="J237" s="5">
        <v>352.82</v>
      </c>
      <c r="K237" t="str">
        <f t="shared" si="15"/>
        <v>West</v>
      </c>
      <c r="L237" s="7" t="str">
        <f t="shared" si="16"/>
        <v>Food</v>
      </c>
      <c r="M237" s="7">
        <f t="shared" si="17"/>
        <v>88</v>
      </c>
      <c r="N237" s="7">
        <f t="shared" si="18"/>
        <v>400.89</v>
      </c>
      <c r="O237">
        <f t="shared" si="19"/>
        <v>35278.32</v>
      </c>
    </row>
    <row r="238" spans="1:15" ht="29.4" thickBot="1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5">
        <v>36</v>
      </c>
      <c r="I238" s="5">
        <v>96.37</v>
      </c>
      <c r="J238" s="5">
        <v>112.61</v>
      </c>
      <c r="K238" t="str">
        <f t="shared" si="15"/>
        <v>South</v>
      </c>
      <c r="L238" s="7" t="str">
        <f t="shared" si="16"/>
        <v>Beverages</v>
      </c>
      <c r="M238" s="7">
        <f t="shared" si="17"/>
        <v>36</v>
      </c>
      <c r="N238" s="7">
        <f t="shared" si="18"/>
        <v>96.37</v>
      </c>
      <c r="O238">
        <f t="shared" si="19"/>
        <v>3469.32</v>
      </c>
    </row>
    <row r="239" spans="1:15" ht="15" thickBot="1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5">
        <v>183</v>
      </c>
      <c r="I239" s="5">
        <v>151.16</v>
      </c>
      <c r="J239" s="5">
        <v>79.19</v>
      </c>
      <c r="K239" t="str">
        <f t="shared" si="15"/>
        <v>South</v>
      </c>
      <c r="L239" s="7" t="str">
        <f t="shared" si="16"/>
        <v>Furniture</v>
      </c>
      <c r="M239" s="7">
        <f t="shared" si="17"/>
        <v>183</v>
      </c>
      <c r="N239" s="7">
        <f t="shared" si="18"/>
        <v>151.16</v>
      </c>
      <c r="O239">
        <f t="shared" si="19"/>
        <v>27662.28</v>
      </c>
    </row>
    <row r="240" spans="1:15" ht="15" thickBot="1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5">
        <v>59</v>
      </c>
      <c r="I240" s="5">
        <v>397.74</v>
      </c>
      <c r="J240" s="5">
        <v>352.17</v>
      </c>
      <c r="K240" t="str">
        <f t="shared" si="15"/>
        <v>East</v>
      </c>
      <c r="L240" s="7" t="str">
        <f t="shared" si="16"/>
        <v>Furniture</v>
      </c>
      <c r="M240" s="7">
        <f t="shared" si="17"/>
        <v>59</v>
      </c>
      <c r="N240" s="7">
        <f t="shared" si="18"/>
        <v>397.74</v>
      </c>
      <c r="O240">
        <f t="shared" si="19"/>
        <v>23466.66</v>
      </c>
    </row>
    <row r="241" spans="1:15" ht="15" thickBot="1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5">
        <v>208</v>
      </c>
      <c r="I241" s="5">
        <v>96.69</v>
      </c>
      <c r="J241" s="5">
        <v>263.70999999999998</v>
      </c>
      <c r="K241" t="str">
        <f t="shared" si="15"/>
        <v>West</v>
      </c>
      <c r="L241" s="7" t="str">
        <f t="shared" si="16"/>
        <v>Clothing</v>
      </c>
      <c r="M241" s="7">
        <f t="shared" si="17"/>
        <v>208</v>
      </c>
      <c r="N241" s="7">
        <f t="shared" si="18"/>
        <v>96.69</v>
      </c>
      <c r="O241">
        <f t="shared" si="19"/>
        <v>20111.52</v>
      </c>
    </row>
    <row r="242" spans="1:15" ht="15" thickBot="1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5">
        <v>396</v>
      </c>
      <c r="I242" s="5">
        <v>459.29</v>
      </c>
      <c r="J242" s="5">
        <v>125.75</v>
      </c>
      <c r="K242" t="str">
        <f t="shared" si="15"/>
        <v>South</v>
      </c>
      <c r="L242" s="7" t="str">
        <f t="shared" si="16"/>
        <v>Clothing</v>
      </c>
      <c r="M242" s="7">
        <f t="shared" si="17"/>
        <v>396</v>
      </c>
      <c r="N242" s="7">
        <f t="shared" si="18"/>
        <v>459.29</v>
      </c>
      <c r="O242">
        <f t="shared" si="19"/>
        <v>181878.84</v>
      </c>
    </row>
    <row r="243" spans="1:15" ht="29.4" thickBot="1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5">
        <v>358</v>
      </c>
      <c r="I243" s="5">
        <v>215.14</v>
      </c>
      <c r="J243" s="5">
        <v>297.45</v>
      </c>
      <c r="K243" t="str">
        <f t="shared" si="15"/>
        <v>East</v>
      </c>
      <c r="L243" s="7" t="str">
        <f t="shared" si="16"/>
        <v>Electronics</v>
      </c>
      <c r="M243" s="7">
        <f t="shared" si="17"/>
        <v>358</v>
      </c>
      <c r="N243" s="7">
        <f t="shared" si="18"/>
        <v>215.14</v>
      </c>
      <c r="O243">
        <f t="shared" si="19"/>
        <v>77020.12</v>
      </c>
    </row>
    <row r="244" spans="1:15" ht="29.4" thickBot="1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5">
        <v>457</v>
      </c>
      <c r="I244" s="5">
        <v>48.08</v>
      </c>
      <c r="J244" s="5">
        <v>326.42</v>
      </c>
      <c r="K244" t="str">
        <f t="shared" si="15"/>
        <v>West</v>
      </c>
      <c r="L244" s="7" t="str">
        <f t="shared" si="16"/>
        <v>Beverages</v>
      </c>
      <c r="M244" s="7">
        <f t="shared" si="17"/>
        <v>457</v>
      </c>
      <c r="N244" s="7">
        <f t="shared" si="18"/>
        <v>48.08</v>
      </c>
      <c r="O244">
        <f t="shared" si="19"/>
        <v>21972.559999999998</v>
      </c>
    </row>
    <row r="245" spans="1:15" ht="15" thickBot="1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5">
        <v>437</v>
      </c>
      <c r="I245" s="5">
        <v>408.8</v>
      </c>
      <c r="J245" s="5">
        <v>246.76</v>
      </c>
      <c r="K245" t="str">
        <f t="shared" si="15"/>
        <v>North</v>
      </c>
      <c r="L245" s="7" t="str">
        <f t="shared" si="16"/>
        <v>Food</v>
      </c>
      <c r="M245" s="7">
        <f t="shared" si="17"/>
        <v>437</v>
      </c>
      <c r="N245" s="7">
        <f t="shared" si="18"/>
        <v>408.8</v>
      </c>
      <c r="O245">
        <f t="shared" si="19"/>
        <v>178645.6</v>
      </c>
    </row>
    <row r="246" spans="1:15" ht="15" thickBot="1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5">
        <v>190</v>
      </c>
      <c r="I246" s="5">
        <v>189.89</v>
      </c>
      <c r="J246" s="5">
        <v>275.77999999999997</v>
      </c>
      <c r="K246" t="str">
        <f t="shared" si="15"/>
        <v>East</v>
      </c>
      <c r="L246" s="7" t="str">
        <f t="shared" si="16"/>
        <v>Furniture</v>
      </c>
      <c r="M246" s="7">
        <f t="shared" si="17"/>
        <v>190</v>
      </c>
      <c r="N246" s="7">
        <f t="shared" si="18"/>
        <v>189.89</v>
      </c>
      <c r="O246">
        <f t="shared" si="19"/>
        <v>36079.1</v>
      </c>
    </row>
    <row r="247" spans="1:15" ht="29.4" thickBot="1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5">
        <v>33</v>
      </c>
      <c r="I247" s="5">
        <v>265.62</v>
      </c>
      <c r="J247" s="5">
        <v>151.35</v>
      </c>
      <c r="K247" t="str">
        <f t="shared" si="15"/>
        <v>South</v>
      </c>
      <c r="L247" s="7" t="str">
        <f t="shared" si="16"/>
        <v>Electronics</v>
      </c>
      <c r="M247" s="7">
        <f t="shared" si="17"/>
        <v>33</v>
      </c>
      <c r="N247" s="7">
        <f t="shared" si="18"/>
        <v>265.62</v>
      </c>
      <c r="O247">
        <f t="shared" si="19"/>
        <v>8765.4600000000009</v>
      </c>
    </row>
    <row r="248" spans="1:15" ht="29.4" thickBot="1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5">
        <v>325</v>
      </c>
      <c r="I248" s="5">
        <v>60.59</v>
      </c>
      <c r="J248" s="5">
        <v>216.4</v>
      </c>
      <c r="K248" t="str">
        <f t="shared" si="15"/>
        <v>North</v>
      </c>
      <c r="L248" s="7" t="str">
        <f t="shared" si="16"/>
        <v>Electronics</v>
      </c>
      <c r="M248" s="7">
        <f t="shared" si="17"/>
        <v>325</v>
      </c>
      <c r="N248" s="7">
        <f t="shared" si="18"/>
        <v>60.59</v>
      </c>
      <c r="O248">
        <f t="shared" si="19"/>
        <v>19691.75</v>
      </c>
    </row>
    <row r="249" spans="1:15" ht="15" thickBot="1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5">
        <v>387</v>
      </c>
      <c r="I249" s="5">
        <v>6.28</v>
      </c>
      <c r="J249" s="5">
        <v>210.62</v>
      </c>
      <c r="K249" t="str">
        <f t="shared" si="15"/>
        <v>North</v>
      </c>
      <c r="L249" s="7" t="str">
        <f t="shared" si="16"/>
        <v>Furniture</v>
      </c>
      <c r="M249" s="7">
        <f t="shared" si="17"/>
        <v>387</v>
      </c>
      <c r="N249" s="7">
        <f t="shared" si="18"/>
        <v>6.28</v>
      </c>
      <c r="O249">
        <f t="shared" si="19"/>
        <v>2430.36</v>
      </c>
    </row>
    <row r="250" spans="1:15" ht="15" thickBot="1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5">
        <v>396</v>
      </c>
      <c r="I250" s="5">
        <v>320.8</v>
      </c>
      <c r="J250" s="5">
        <v>339.52</v>
      </c>
      <c r="K250" t="str">
        <f t="shared" si="15"/>
        <v>North</v>
      </c>
      <c r="L250" s="7" t="str">
        <f t="shared" si="16"/>
        <v>Food</v>
      </c>
      <c r="M250" s="7">
        <f t="shared" si="17"/>
        <v>396</v>
      </c>
      <c r="N250" s="7">
        <f t="shared" si="18"/>
        <v>320.8</v>
      </c>
      <c r="O250">
        <f t="shared" si="19"/>
        <v>127036.8</v>
      </c>
    </row>
    <row r="251" spans="1:15" ht="29.4" thickBot="1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5">
        <v>413</v>
      </c>
      <c r="I251" s="5">
        <v>260.01</v>
      </c>
      <c r="J251" s="5">
        <v>336.31</v>
      </c>
      <c r="K251" t="str">
        <f t="shared" si="15"/>
        <v>East</v>
      </c>
      <c r="L251" s="7" t="str">
        <f t="shared" si="16"/>
        <v>Electronics</v>
      </c>
      <c r="M251" s="7">
        <f t="shared" si="17"/>
        <v>413</v>
      </c>
      <c r="N251" s="7">
        <f t="shared" si="18"/>
        <v>260.01</v>
      </c>
      <c r="O251">
        <f t="shared" si="19"/>
        <v>107384.12999999999</v>
      </c>
    </row>
    <row r="252" spans="1:15" ht="29.4" thickBot="1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>
        <v>255.90289999999999</v>
      </c>
      <c r="I252" s="5">
        <v>298.8</v>
      </c>
      <c r="J252" s="5">
        <v>333.41</v>
      </c>
      <c r="K252" t="str">
        <f t="shared" si="15"/>
        <v>South</v>
      </c>
      <c r="L252" s="7" t="str">
        <f t="shared" si="16"/>
        <v>Electronics</v>
      </c>
      <c r="M252" s="7">
        <f t="shared" si="17"/>
        <v>255.90289999999999</v>
      </c>
      <c r="N252" s="7">
        <f t="shared" si="18"/>
        <v>298.8</v>
      </c>
      <c r="O252">
        <f t="shared" si="19"/>
        <v>76463.786519999994</v>
      </c>
    </row>
    <row r="253" spans="1:15" ht="29.4" thickBot="1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5">
        <v>24</v>
      </c>
      <c r="I253" s="5">
        <v>397.9</v>
      </c>
      <c r="J253" s="5">
        <v>6.39</v>
      </c>
      <c r="K253" t="str">
        <f t="shared" si="15"/>
        <v>North</v>
      </c>
      <c r="L253" s="7" t="str">
        <f t="shared" si="16"/>
        <v>Beverages</v>
      </c>
      <c r="M253" s="7">
        <f t="shared" si="17"/>
        <v>24</v>
      </c>
      <c r="N253" s="7">
        <f t="shared" si="18"/>
        <v>397.9</v>
      </c>
      <c r="O253">
        <f t="shared" si="19"/>
        <v>9549.5999999999985</v>
      </c>
    </row>
    <row r="254" spans="1:15" ht="15" thickBot="1">
      <c r="A254" s="3" t="s">
        <v>281</v>
      </c>
      <c r="B254" s="3" t="s">
        <v>17</v>
      </c>
      <c r="C254" s="3" t="s">
        <v>12</v>
      </c>
      <c r="D254" s="7" t="s">
        <v>13</v>
      </c>
      <c r="E254" s="3" t="s">
        <v>14</v>
      </c>
      <c r="F254" s="3" t="s">
        <v>15</v>
      </c>
      <c r="G254" s="4">
        <v>45179</v>
      </c>
      <c r="H254" s="5">
        <v>162</v>
      </c>
      <c r="I254" s="5">
        <v>325.07</v>
      </c>
      <c r="J254" s="5">
        <v>300.32</v>
      </c>
      <c r="K254" t="str">
        <f t="shared" si="15"/>
        <v>West</v>
      </c>
      <c r="L254" s="7" t="str">
        <f t="shared" si="16"/>
        <v>Beverages</v>
      </c>
      <c r="M254" s="7">
        <f t="shared" si="17"/>
        <v>162</v>
      </c>
      <c r="N254" s="7">
        <f t="shared" si="18"/>
        <v>325.07</v>
      </c>
      <c r="O254">
        <f t="shared" si="19"/>
        <v>52661.34</v>
      </c>
    </row>
    <row r="255" spans="1:15" ht="29.4" thickBot="1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5">
        <v>231</v>
      </c>
      <c r="I255" s="5">
        <v>91.51</v>
      </c>
      <c r="J255" s="5">
        <v>303.95</v>
      </c>
      <c r="K255" t="str">
        <f t="shared" si="15"/>
        <v>North</v>
      </c>
      <c r="L255" s="7" t="str">
        <f t="shared" si="16"/>
        <v>Electronics</v>
      </c>
      <c r="M255" s="7">
        <f t="shared" si="17"/>
        <v>231</v>
      </c>
      <c r="N255" s="7">
        <f t="shared" si="18"/>
        <v>91.51</v>
      </c>
      <c r="O255">
        <f t="shared" si="19"/>
        <v>21138.81</v>
      </c>
    </row>
    <row r="256" spans="1:15" ht="15" thickBot="1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5">
        <v>215</v>
      </c>
      <c r="I256" s="5">
        <v>183.58</v>
      </c>
      <c r="J256" s="5">
        <v>271.99</v>
      </c>
      <c r="K256" t="str">
        <f t="shared" si="15"/>
        <v>North</v>
      </c>
      <c r="L256" s="7" t="str">
        <f t="shared" si="16"/>
        <v>Food</v>
      </c>
      <c r="M256" s="7">
        <f t="shared" si="17"/>
        <v>215</v>
      </c>
      <c r="N256" s="7">
        <f t="shared" si="18"/>
        <v>183.58</v>
      </c>
      <c r="O256">
        <f t="shared" si="19"/>
        <v>39469.700000000004</v>
      </c>
    </row>
    <row r="257" spans="1:15" ht="15" thickBot="1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5">
        <v>464</v>
      </c>
      <c r="I257" s="5">
        <v>453.42</v>
      </c>
      <c r="J257" s="5">
        <v>302.99</v>
      </c>
      <c r="K257" t="str">
        <f t="shared" si="15"/>
        <v>East</v>
      </c>
      <c r="L257" s="7" t="str">
        <f t="shared" si="16"/>
        <v>Furniture</v>
      </c>
      <c r="M257" s="7">
        <f t="shared" si="17"/>
        <v>464</v>
      </c>
      <c r="N257" s="7">
        <f t="shared" si="18"/>
        <v>453.42</v>
      </c>
      <c r="O257">
        <f t="shared" si="19"/>
        <v>210386.88</v>
      </c>
    </row>
    <row r="258" spans="1:15" ht="15" thickBot="1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5">
        <v>282</v>
      </c>
      <c r="I258" s="3">
        <v>249.64519999999999</v>
      </c>
      <c r="J258" s="5">
        <v>337.1</v>
      </c>
      <c r="K258" t="str">
        <f t="shared" si="15"/>
        <v>East</v>
      </c>
      <c r="L258" s="7" t="str">
        <f t="shared" si="16"/>
        <v>Clothing</v>
      </c>
      <c r="M258" s="7">
        <f t="shared" si="17"/>
        <v>282</v>
      </c>
      <c r="N258" s="7">
        <f t="shared" si="18"/>
        <v>249.64519999999999</v>
      </c>
      <c r="O258">
        <f t="shared" si="19"/>
        <v>70399.946400000001</v>
      </c>
    </row>
    <row r="259" spans="1:15" ht="29.4" thickBot="1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5">
        <v>391</v>
      </c>
      <c r="I259" s="5">
        <v>280.54000000000002</v>
      </c>
      <c r="J259" s="5">
        <v>189.19</v>
      </c>
      <c r="K259" t="str">
        <f t="shared" ref="K259:L322" si="20">IF(B259="", "West", B259:B608)</f>
        <v>South</v>
      </c>
      <c r="L259" s="7" t="str">
        <f t="shared" ref="L259:L322" si="21">IF(D259="", "Beverages", D259)</f>
        <v>Electronics</v>
      </c>
      <c r="M259" s="7">
        <f t="shared" ref="M259:M322" si="22">IF(H259="",AVERAGE($H$2:$H$351),H259)</f>
        <v>391</v>
      </c>
      <c r="N259" s="7">
        <f t="shared" ref="N259:N322" si="23">IF(I259="",AVERAGE($I$2:$I$351),I259)</f>
        <v>280.54000000000002</v>
      </c>
      <c r="O259">
        <f t="shared" ref="O259:O322" si="24">H259*I259</f>
        <v>109691.14000000001</v>
      </c>
    </row>
    <row r="260" spans="1:15" ht="29.4" thickBot="1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5">
        <v>245</v>
      </c>
      <c r="I260" s="5">
        <v>131.54</v>
      </c>
      <c r="J260" s="5">
        <v>201.82</v>
      </c>
      <c r="K260" t="str">
        <f t="shared" si="20"/>
        <v>West</v>
      </c>
      <c r="L260" s="7" t="str">
        <f t="shared" si="21"/>
        <v>Beverages</v>
      </c>
      <c r="M260" s="7">
        <f t="shared" si="22"/>
        <v>245</v>
      </c>
      <c r="N260" s="7">
        <f t="shared" si="23"/>
        <v>131.54</v>
      </c>
      <c r="O260">
        <f t="shared" si="24"/>
        <v>32227.3</v>
      </c>
    </row>
    <row r="261" spans="1:15" ht="15" thickBot="1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5">
        <v>349</v>
      </c>
      <c r="I261" s="5">
        <v>154.52000000000001</v>
      </c>
      <c r="J261" s="5">
        <v>51.64</v>
      </c>
      <c r="K261" t="str">
        <f t="shared" si="20"/>
        <v>East</v>
      </c>
      <c r="L261" s="7" t="str">
        <f t="shared" si="21"/>
        <v>Furniture</v>
      </c>
      <c r="M261" s="7">
        <f t="shared" si="22"/>
        <v>349</v>
      </c>
      <c r="N261" s="7">
        <f t="shared" si="23"/>
        <v>154.52000000000001</v>
      </c>
      <c r="O261">
        <f t="shared" si="24"/>
        <v>53927.48</v>
      </c>
    </row>
    <row r="262" spans="1:15" ht="15" thickBot="1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5">
        <v>237</v>
      </c>
      <c r="I262" s="3">
        <v>249.64519999999999</v>
      </c>
      <c r="J262" s="5">
        <v>155.38</v>
      </c>
      <c r="K262" t="str">
        <f t="shared" si="20"/>
        <v>North</v>
      </c>
      <c r="L262" s="7" t="str">
        <f t="shared" si="21"/>
        <v>Food</v>
      </c>
      <c r="M262" s="7">
        <f t="shared" si="22"/>
        <v>237</v>
      </c>
      <c r="N262" s="7">
        <f t="shared" si="23"/>
        <v>249.64519999999999</v>
      </c>
      <c r="O262">
        <f t="shared" si="24"/>
        <v>59165.912399999994</v>
      </c>
    </row>
    <row r="263" spans="1:15" ht="15" thickBot="1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5">
        <v>18</v>
      </c>
      <c r="I263" s="5">
        <v>426.33</v>
      </c>
      <c r="J263" s="5">
        <v>258.06</v>
      </c>
      <c r="K263" t="str">
        <f t="shared" si="20"/>
        <v>South</v>
      </c>
      <c r="L263" s="7" t="str">
        <f t="shared" si="21"/>
        <v>Furniture</v>
      </c>
      <c r="M263" s="7">
        <f t="shared" si="22"/>
        <v>18</v>
      </c>
      <c r="N263" s="7">
        <f t="shared" si="23"/>
        <v>426.33</v>
      </c>
      <c r="O263">
        <f t="shared" si="24"/>
        <v>7673.94</v>
      </c>
    </row>
    <row r="264" spans="1:15" ht="29.4" thickBot="1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5">
        <v>175</v>
      </c>
      <c r="I264" s="5">
        <v>337.36</v>
      </c>
      <c r="J264" s="5">
        <v>312.60000000000002</v>
      </c>
      <c r="K264" t="str">
        <f t="shared" si="20"/>
        <v>North</v>
      </c>
      <c r="L264" s="7" t="str">
        <f t="shared" si="21"/>
        <v>Electronics</v>
      </c>
      <c r="M264" s="7">
        <f t="shared" si="22"/>
        <v>175</v>
      </c>
      <c r="N264" s="7">
        <f t="shared" si="23"/>
        <v>337.36</v>
      </c>
      <c r="O264">
        <f t="shared" si="24"/>
        <v>59038</v>
      </c>
    </row>
    <row r="265" spans="1:15" ht="15" thickBot="1">
      <c r="A265" s="3" t="s">
        <v>292</v>
      </c>
      <c r="B265" s="3" t="s">
        <v>22</v>
      </c>
      <c r="C265" s="3" t="s">
        <v>18</v>
      </c>
      <c r="D265" s="7" t="s">
        <v>13</v>
      </c>
      <c r="E265" s="3" t="s">
        <v>14</v>
      </c>
      <c r="F265" s="3" t="s">
        <v>15</v>
      </c>
      <c r="G265" s="4">
        <v>45190</v>
      </c>
      <c r="H265" s="5">
        <v>441</v>
      </c>
      <c r="I265" s="5">
        <v>405.72</v>
      </c>
      <c r="J265" s="5">
        <v>88.45</v>
      </c>
      <c r="K265" t="str">
        <f t="shared" si="20"/>
        <v>North</v>
      </c>
      <c r="L265" s="7" t="str">
        <f t="shared" si="21"/>
        <v>Beverages</v>
      </c>
      <c r="M265" s="7">
        <f t="shared" si="22"/>
        <v>441</v>
      </c>
      <c r="N265" s="7">
        <f t="shared" si="23"/>
        <v>405.72</v>
      </c>
      <c r="O265">
        <f t="shared" si="24"/>
        <v>178922.52000000002</v>
      </c>
    </row>
    <row r="266" spans="1:15" ht="15" thickBot="1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5">
        <v>453</v>
      </c>
      <c r="I266" s="5">
        <v>384.49</v>
      </c>
      <c r="J266" s="5">
        <v>56.85</v>
      </c>
      <c r="K266" t="str">
        <f t="shared" si="20"/>
        <v>East</v>
      </c>
      <c r="L266" s="7" t="str">
        <f t="shared" si="21"/>
        <v>Clothing</v>
      </c>
      <c r="M266" s="7">
        <f t="shared" si="22"/>
        <v>453</v>
      </c>
      <c r="N266" s="7">
        <f t="shared" si="23"/>
        <v>384.49</v>
      </c>
      <c r="O266">
        <f t="shared" si="24"/>
        <v>174173.97</v>
      </c>
    </row>
    <row r="267" spans="1:15" ht="15" thickBot="1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5">
        <v>328</v>
      </c>
      <c r="I267" s="5">
        <v>79.099999999999994</v>
      </c>
      <c r="J267" s="5">
        <v>265.89</v>
      </c>
      <c r="K267" t="str">
        <f t="shared" si="20"/>
        <v>South</v>
      </c>
      <c r="L267" s="7" t="str">
        <f t="shared" si="21"/>
        <v>Furniture</v>
      </c>
      <c r="M267" s="7">
        <f t="shared" si="22"/>
        <v>328</v>
      </c>
      <c r="N267" s="7">
        <f t="shared" si="23"/>
        <v>79.099999999999994</v>
      </c>
      <c r="O267">
        <f t="shared" si="24"/>
        <v>25944.799999999999</v>
      </c>
    </row>
    <row r="268" spans="1:15" ht="29.4" thickBot="1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5">
        <v>223</v>
      </c>
      <c r="I268" s="5">
        <v>214.85</v>
      </c>
      <c r="J268" s="5">
        <v>2.75</v>
      </c>
      <c r="K268" t="str">
        <f t="shared" si="20"/>
        <v>West</v>
      </c>
      <c r="L268" s="7" t="str">
        <f t="shared" si="21"/>
        <v>Electronics</v>
      </c>
      <c r="M268" s="7">
        <f t="shared" si="22"/>
        <v>223</v>
      </c>
      <c r="N268" s="7">
        <f t="shared" si="23"/>
        <v>214.85</v>
      </c>
      <c r="O268">
        <f t="shared" si="24"/>
        <v>47911.549999999996</v>
      </c>
    </row>
    <row r="269" spans="1:15" ht="29.4" thickBot="1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5">
        <v>126</v>
      </c>
      <c r="I269" s="5">
        <v>80.73</v>
      </c>
      <c r="J269" s="5">
        <v>72.989999999999995</v>
      </c>
      <c r="K269" t="str">
        <f t="shared" si="20"/>
        <v>West</v>
      </c>
      <c r="L269" s="7" t="str">
        <f t="shared" si="21"/>
        <v>Beverages</v>
      </c>
      <c r="M269" s="7">
        <f t="shared" si="22"/>
        <v>126</v>
      </c>
      <c r="N269" s="7">
        <f t="shared" si="23"/>
        <v>80.73</v>
      </c>
      <c r="O269">
        <f t="shared" si="24"/>
        <v>10171.980000000001</v>
      </c>
    </row>
    <row r="270" spans="1:15" ht="15" thickBot="1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5">
        <v>395</v>
      </c>
      <c r="I270" s="5">
        <v>121.44</v>
      </c>
      <c r="J270" s="5">
        <v>13.57</v>
      </c>
      <c r="K270" t="str">
        <f t="shared" si="20"/>
        <v>East</v>
      </c>
      <c r="L270" s="7" t="str">
        <f t="shared" si="21"/>
        <v>Food</v>
      </c>
      <c r="M270" s="7">
        <f t="shared" si="22"/>
        <v>395</v>
      </c>
      <c r="N270" s="7">
        <f t="shared" si="23"/>
        <v>121.44</v>
      </c>
      <c r="O270">
        <f t="shared" si="24"/>
        <v>47968.799999999996</v>
      </c>
    </row>
    <row r="271" spans="1:15" ht="15" thickBot="1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5">
        <v>353</v>
      </c>
      <c r="I271" s="5">
        <v>435.28</v>
      </c>
      <c r="J271" s="5">
        <v>68.42</v>
      </c>
      <c r="K271" t="str">
        <f t="shared" si="20"/>
        <v>East</v>
      </c>
      <c r="L271" s="7" t="str">
        <f t="shared" si="21"/>
        <v>Furniture</v>
      </c>
      <c r="M271" s="7">
        <f t="shared" si="22"/>
        <v>353</v>
      </c>
      <c r="N271" s="7">
        <f t="shared" si="23"/>
        <v>435.28</v>
      </c>
      <c r="O271">
        <f t="shared" si="24"/>
        <v>153653.84</v>
      </c>
    </row>
    <row r="272" spans="1:15" ht="15" thickBot="1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5">
        <v>81</v>
      </c>
      <c r="I272" s="5">
        <v>239.08</v>
      </c>
      <c r="J272" s="5">
        <v>74.17</v>
      </c>
      <c r="K272" t="str">
        <f t="shared" si="20"/>
        <v>South</v>
      </c>
      <c r="L272" s="7" t="str">
        <f t="shared" si="21"/>
        <v>Furniture</v>
      </c>
      <c r="M272" s="7">
        <f t="shared" si="22"/>
        <v>81</v>
      </c>
      <c r="N272" s="7">
        <f t="shared" si="23"/>
        <v>239.08</v>
      </c>
      <c r="O272">
        <f t="shared" si="24"/>
        <v>19365.48</v>
      </c>
    </row>
    <row r="273" spans="1:15" ht="15" thickBot="1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5">
        <v>404</v>
      </c>
      <c r="I273" s="5">
        <v>270</v>
      </c>
      <c r="J273" s="5">
        <v>156.29</v>
      </c>
      <c r="K273" t="str">
        <f t="shared" si="20"/>
        <v>West</v>
      </c>
      <c r="L273" s="7" t="str">
        <f t="shared" si="21"/>
        <v>Clothing</v>
      </c>
      <c r="M273" s="7">
        <f t="shared" si="22"/>
        <v>404</v>
      </c>
      <c r="N273" s="7">
        <f t="shared" si="23"/>
        <v>270</v>
      </c>
      <c r="O273">
        <f t="shared" si="24"/>
        <v>109080</v>
      </c>
    </row>
    <row r="274" spans="1:15" ht="15" thickBot="1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5">
        <v>73</v>
      </c>
      <c r="I274" s="5">
        <v>93.33</v>
      </c>
      <c r="J274" s="5">
        <v>162.13</v>
      </c>
      <c r="K274" t="str">
        <f t="shared" si="20"/>
        <v>West</v>
      </c>
      <c r="L274" s="7" t="str">
        <f t="shared" si="21"/>
        <v>Clothing</v>
      </c>
      <c r="M274" s="7">
        <f t="shared" si="22"/>
        <v>73</v>
      </c>
      <c r="N274" s="7">
        <f t="shared" si="23"/>
        <v>93.33</v>
      </c>
      <c r="O274">
        <f t="shared" si="24"/>
        <v>6813.09</v>
      </c>
    </row>
    <row r="275" spans="1:15" ht="29.4" thickBot="1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5">
        <v>214</v>
      </c>
      <c r="I275" s="5">
        <v>159.57</v>
      </c>
      <c r="J275" s="5">
        <v>349.96</v>
      </c>
      <c r="K275" t="str">
        <f t="shared" si="20"/>
        <v>West</v>
      </c>
      <c r="L275" s="7" t="str">
        <f t="shared" si="21"/>
        <v>Beverages</v>
      </c>
      <c r="M275" s="7">
        <f t="shared" si="22"/>
        <v>214</v>
      </c>
      <c r="N275" s="7">
        <f t="shared" si="23"/>
        <v>159.57</v>
      </c>
      <c r="O275">
        <f t="shared" si="24"/>
        <v>34147.979999999996</v>
      </c>
    </row>
    <row r="276" spans="1:15" ht="29.4" thickBot="1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5">
        <v>218</v>
      </c>
      <c r="I276" s="5">
        <v>118.97</v>
      </c>
      <c r="J276" s="5">
        <v>205.02</v>
      </c>
      <c r="K276" t="str">
        <f t="shared" si="20"/>
        <v>North</v>
      </c>
      <c r="L276" s="7" t="str">
        <f t="shared" si="21"/>
        <v>Beverages</v>
      </c>
      <c r="M276" s="7">
        <f t="shared" si="22"/>
        <v>218</v>
      </c>
      <c r="N276" s="7">
        <f t="shared" si="23"/>
        <v>118.97</v>
      </c>
      <c r="O276">
        <f t="shared" si="24"/>
        <v>25935.46</v>
      </c>
    </row>
    <row r="277" spans="1:15" ht="29.4" thickBot="1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5">
        <v>81</v>
      </c>
      <c r="I277" s="5">
        <v>107.06</v>
      </c>
      <c r="J277" s="5">
        <v>289.92</v>
      </c>
      <c r="K277" t="str">
        <f t="shared" si="20"/>
        <v>West</v>
      </c>
      <c r="L277" s="7" t="str">
        <f t="shared" si="21"/>
        <v>Electronics</v>
      </c>
      <c r="M277" s="7">
        <f t="shared" si="22"/>
        <v>81</v>
      </c>
      <c r="N277" s="7">
        <f t="shared" si="23"/>
        <v>107.06</v>
      </c>
      <c r="O277">
        <f t="shared" si="24"/>
        <v>8671.86</v>
      </c>
    </row>
    <row r="278" spans="1:15" ht="29.4" thickBot="1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5">
        <v>286</v>
      </c>
      <c r="I278" s="5">
        <v>320.79000000000002</v>
      </c>
      <c r="J278" s="5">
        <v>43.45</v>
      </c>
      <c r="K278" t="str">
        <f t="shared" si="20"/>
        <v>North</v>
      </c>
      <c r="L278" s="7" t="str">
        <f t="shared" si="21"/>
        <v>Electronics</v>
      </c>
      <c r="M278" s="7">
        <f t="shared" si="22"/>
        <v>286</v>
      </c>
      <c r="N278" s="7">
        <f t="shared" si="23"/>
        <v>320.79000000000002</v>
      </c>
      <c r="O278">
        <f t="shared" si="24"/>
        <v>91745.94</v>
      </c>
    </row>
    <row r="279" spans="1:15" ht="29.4" thickBot="1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5">
        <v>283</v>
      </c>
      <c r="I279" s="5">
        <v>132.16</v>
      </c>
      <c r="J279" s="5">
        <v>91.72</v>
      </c>
      <c r="K279" t="str">
        <f t="shared" si="20"/>
        <v>South</v>
      </c>
      <c r="L279" s="7" t="str">
        <f t="shared" si="21"/>
        <v>Beverages</v>
      </c>
      <c r="M279" s="7">
        <f t="shared" si="22"/>
        <v>283</v>
      </c>
      <c r="N279" s="7">
        <f t="shared" si="23"/>
        <v>132.16</v>
      </c>
      <c r="O279">
        <f t="shared" si="24"/>
        <v>37401.279999999999</v>
      </c>
    </row>
    <row r="280" spans="1:15" ht="29.4" thickBot="1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5">
        <v>487</v>
      </c>
      <c r="I280" s="5">
        <v>317.85000000000002</v>
      </c>
      <c r="J280" s="5">
        <v>281.77</v>
      </c>
      <c r="K280" t="str">
        <f t="shared" si="20"/>
        <v>North</v>
      </c>
      <c r="L280" s="7" t="str">
        <f t="shared" si="21"/>
        <v>Beverages</v>
      </c>
      <c r="M280" s="7">
        <f t="shared" si="22"/>
        <v>487</v>
      </c>
      <c r="N280" s="7">
        <f t="shared" si="23"/>
        <v>317.85000000000002</v>
      </c>
      <c r="O280">
        <f t="shared" si="24"/>
        <v>154792.95000000001</v>
      </c>
    </row>
    <row r="281" spans="1:15" ht="15" thickBot="1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5">
        <v>329</v>
      </c>
      <c r="I281" s="5">
        <v>33.94</v>
      </c>
      <c r="J281" s="5">
        <v>23.02</v>
      </c>
      <c r="K281" t="str">
        <f t="shared" si="20"/>
        <v>South</v>
      </c>
      <c r="L281" s="7" t="str">
        <f t="shared" si="21"/>
        <v>Food</v>
      </c>
      <c r="M281" s="7">
        <f t="shared" si="22"/>
        <v>329</v>
      </c>
      <c r="N281" s="7">
        <f t="shared" si="23"/>
        <v>33.94</v>
      </c>
      <c r="O281">
        <f t="shared" si="24"/>
        <v>11166.259999999998</v>
      </c>
    </row>
    <row r="282" spans="1:15" ht="15" thickBot="1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5">
        <v>347</v>
      </c>
      <c r="I282" s="5">
        <v>75.180000000000007</v>
      </c>
      <c r="J282" s="5">
        <v>195.67</v>
      </c>
      <c r="K282" t="str">
        <f t="shared" si="20"/>
        <v>West</v>
      </c>
      <c r="L282" s="7" t="str">
        <f t="shared" si="21"/>
        <v>Clothing</v>
      </c>
      <c r="M282" s="7">
        <f t="shared" si="22"/>
        <v>347</v>
      </c>
      <c r="N282" s="7">
        <f t="shared" si="23"/>
        <v>75.180000000000007</v>
      </c>
      <c r="O282">
        <f t="shared" si="24"/>
        <v>26087.460000000003</v>
      </c>
    </row>
    <row r="283" spans="1:15" ht="29.4" thickBot="1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5">
        <v>375</v>
      </c>
      <c r="I283" s="5">
        <v>140.9</v>
      </c>
      <c r="J283" s="5">
        <v>240.55</v>
      </c>
      <c r="K283" t="str">
        <f t="shared" si="20"/>
        <v>West</v>
      </c>
      <c r="L283" s="7" t="str">
        <f t="shared" si="21"/>
        <v>Electronics</v>
      </c>
      <c r="M283" s="7">
        <f t="shared" si="22"/>
        <v>375</v>
      </c>
      <c r="N283" s="7">
        <f t="shared" si="23"/>
        <v>140.9</v>
      </c>
      <c r="O283">
        <f t="shared" si="24"/>
        <v>52837.5</v>
      </c>
    </row>
    <row r="284" spans="1:15" ht="15" thickBot="1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5">
        <v>104</v>
      </c>
      <c r="I284" s="5">
        <v>300.54000000000002</v>
      </c>
      <c r="J284" s="5">
        <v>241.65</v>
      </c>
      <c r="K284" t="str">
        <f t="shared" si="20"/>
        <v>South</v>
      </c>
      <c r="L284" s="7" t="str">
        <f t="shared" si="21"/>
        <v>Clothing</v>
      </c>
      <c r="M284" s="7">
        <f t="shared" si="22"/>
        <v>104</v>
      </c>
      <c r="N284" s="7">
        <f t="shared" si="23"/>
        <v>300.54000000000002</v>
      </c>
      <c r="O284">
        <f t="shared" si="24"/>
        <v>31256.160000000003</v>
      </c>
    </row>
    <row r="285" spans="1:15" ht="15" thickBot="1">
      <c r="A285" s="3" t="s">
        <v>312</v>
      </c>
      <c r="B285" s="3" t="s">
        <v>11</v>
      </c>
      <c r="C285" s="3" t="s">
        <v>12</v>
      </c>
      <c r="D285" s="7" t="s">
        <v>13</v>
      </c>
      <c r="E285" s="3" t="s">
        <v>14</v>
      </c>
      <c r="F285" s="3" t="s">
        <v>15</v>
      </c>
      <c r="G285" s="4">
        <v>45210</v>
      </c>
      <c r="H285" s="5">
        <v>175</v>
      </c>
      <c r="I285" s="5">
        <v>339.54</v>
      </c>
      <c r="J285" s="5">
        <v>11.13</v>
      </c>
      <c r="K285" t="str">
        <f t="shared" si="20"/>
        <v>East</v>
      </c>
      <c r="L285" s="7" t="str">
        <f t="shared" si="21"/>
        <v>Beverages</v>
      </c>
      <c r="M285" s="7">
        <f t="shared" si="22"/>
        <v>175</v>
      </c>
      <c r="N285" s="7">
        <f t="shared" si="23"/>
        <v>339.54</v>
      </c>
      <c r="O285">
        <f t="shared" si="24"/>
        <v>59419.5</v>
      </c>
    </row>
    <row r="286" spans="1:15" ht="29.4" thickBot="1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5">
        <v>41</v>
      </c>
      <c r="I286" s="5">
        <v>224.14</v>
      </c>
      <c r="J286" s="5">
        <v>130.19999999999999</v>
      </c>
      <c r="K286" t="str">
        <f t="shared" si="20"/>
        <v>South</v>
      </c>
      <c r="L286" s="7" t="str">
        <f t="shared" si="21"/>
        <v>Beverages</v>
      </c>
      <c r="M286" s="7">
        <f t="shared" si="22"/>
        <v>41</v>
      </c>
      <c r="N286" s="7">
        <f t="shared" si="23"/>
        <v>224.14</v>
      </c>
      <c r="O286">
        <f t="shared" si="24"/>
        <v>9189.74</v>
      </c>
    </row>
    <row r="287" spans="1:15" ht="15" thickBot="1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5">
        <v>20</v>
      </c>
      <c r="I287" s="5">
        <v>225.67</v>
      </c>
      <c r="J287" s="5">
        <v>255.32</v>
      </c>
      <c r="K287" t="str">
        <f t="shared" si="20"/>
        <v>East</v>
      </c>
      <c r="L287" s="7" t="str">
        <f t="shared" si="21"/>
        <v>Food</v>
      </c>
      <c r="M287" s="7">
        <f t="shared" si="22"/>
        <v>20</v>
      </c>
      <c r="N287" s="7">
        <f t="shared" si="23"/>
        <v>225.67</v>
      </c>
      <c r="O287">
        <f t="shared" si="24"/>
        <v>4513.3999999999996</v>
      </c>
    </row>
    <row r="288" spans="1:15" ht="15" thickBot="1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5">
        <v>310</v>
      </c>
      <c r="I288" s="5">
        <v>363.64</v>
      </c>
      <c r="J288" s="5">
        <v>61.3</v>
      </c>
      <c r="K288" t="str">
        <f t="shared" si="20"/>
        <v>North</v>
      </c>
      <c r="L288" s="7" t="str">
        <f t="shared" si="21"/>
        <v>Furniture</v>
      </c>
      <c r="M288" s="7">
        <f t="shared" si="22"/>
        <v>310</v>
      </c>
      <c r="N288" s="7">
        <f t="shared" si="23"/>
        <v>363.64</v>
      </c>
      <c r="O288">
        <f t="shared" si="24"/>
        <v>112728.4</v>
      </c>
    </row>
    <row r="289" spans="1:15" ht="15" thickBot="1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5">
        <v>226</v>
      </c>
      <c r="I289" s="3">
        <v>249.64519999999999</v>
      </c>
      <c r="J289" s="5">
        <v>278.77999999999997</v>
      </c>
      <c r="K289" t="str">
        <f t="shared" si="20"/>
        <v>North</v>
      </c>
      <c r="L289" s="7" t="str">
        <f t="shared" si="21"/>
        <v>Food</v>
      </c>
      <c r="M289" s="7">
        <f t="shared" si="22"/>
        <v>226</v>
      </c>
      <c r="N289" s="7">
        <f t="shared" si="23"/>
        <v>249.64519999999999</v>
      </c>
      <c r="O289">
        <f t="shared" si="24"/>
        <v>56419.815199999997</v>
      </c>
    </row>
    <row r="290" spans="1:15" ht="15" thickBot="1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>
        <v>255.90289999999999</v>
      </c>
      <c r="I290" s="5">
        <v>173.84</v>
      </c>
      <c r="J290" s="5">
        <v>298.88</v>
      </c>
      <c r="K290" t="str">
        <f t="shared" si="20"/>
        <v>North</v>
      </c>
      <c r="L290" s="7" t="str">
        <f t="shared" si="21"/>
        <v>Food</v>
      </c>
      <c r="M290" s="7">
        <f t="shared" si="22"/>
        <v>255.90289999999999</v>
      </c>
      <c r="N290" s="7">
        <f t="shared" si="23"/>
        <v>173.84</v>
      </c>
      <c r="O290">
        <f t="shared" si="24"/>
        <v>44486.160135999999</v>
      </c>
    </row>
    <row r="291" spans="1:15" ht="15" thickBot="1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5">
        <v>111</v>
      </c>
      <c r="I291" s="5">
        <v>410.26</v>
      </c>
      <c r="J291" s="5">
        <v>392.82</v>
      </c>
      <c r="K291" t="str">
        <f t="shared" si="20"/>
        <v>West</v>
      </c>
      <c r="L291" s="7" t="str">
        <f t="shared" si="21"/>
        <v>Clothing</v>
      </c>
      <c r="M291" s="7">
        <f t="shared" si="22"/>
        <v>111</v>
      </c>
      <c r="N291" s="7">
        <f t="shared" si="23"/>
        <v>410.26</v>
      </c>
      <c r="O291">
        <f t="shared" si="24"/>
        <v>45538.86</v>
      </c>
    </row>
    <row r="292" spans="1:15" ht="15" thickBot="1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5">
        <v>434</v>
      </c>
      <c r="I292" s="5">
        <v>303.58999999999997</v>
      </c>
      <c r="J292" s="5">
        <v>85.52</v>
      </c>
      <c r="K292" t="str">
        <f t="shared" si="20"/>
        <v>North</v>
      </c>
      <c r="L292" s="7" t="str">
        <f t="shared" si="21"/>
        <v>Food</v>
      </c>
      <c r="M292" s="7">
        <f t="shared" si="22"/>
        <v>434</v>
      </c>
      <c r="N292" s="7">
        <f t="shared" si="23"/>
        <v>303.58999999999997</v>
      </c>
      <c r="O292">
        <f t="shared" si="24"/>
        <v>131758.06</v>
      </c>
    </row>
    <row r="293" spans="1:15" ht="29.4" thickBot="1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5">
        <v>401</v>
      </c>
      <c r="I293" s="5">
        <v>171.93</v>
      </c>
      <c r="J293" s="5">
        <v>330.4</v>
      </c>
      <c r="K293" t="str">
        <f t="shared" si="20"/>
        <v>East</v>
      </c>
      <c r="L293" s="7" t="str">
        <f t="shared" si="21"/>
        <v>Electronics</v>
      </c>
      <c r="M293" s="7">
        <f t="shared" si="22"/>
        <v>401</v>
      </c>
      <c r="N293" s="7">
        <f t="shared" si="23"/>
        <v>171.93</v>
      </c>
      <c r="O293">
        <f t="shared" si="24"/>
        <v>68943.930000000008</v>
      </c>
    </row>
    <row r="294" spans="1:15" ht="15" thickBot="1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5">
        <v>276</v>
      </c>
      <c r="I294" s="5">
        <v>453.23</v>
      </c>
      <c r="J294" s="5">
        <v>209.08</v>
      </c>
      <c r="K294" t="str">
        <f t="shared" si="20"/>
        <v>North</v>
      </c>
      <c r="L294" s="7" t="str">
        <f t="shared" si="21"/>
        <v>Clothing</v>
      </c>
      <c r="M294" s="7">
        <f t="shared" si="22"/>
        <v>276</v>
      </c>
      <c r="N294" s="7">
        <f t="shared" si="23"/>
        <v>453.23</v>
      </c>
      <c r="O294">
        <f t="shared" si="24"/>
        <v>125091.48000000001</v>
      </c>
    </row>
    <row r="295" spans="1:15" ht="29.4" thickBot="1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>
        <v>255.90289999999999</v>
      </c>
      <c r="I295" s="5">
        <v>387.45</v>
      </c>
      <c r="J295" s="5">
        <v>150.63999999999999</v>
      </c>
      <c r="K295" t="str">
        <f t="shared" si="20"/>
        <v>South</v>
      </c>
      <c r="L295" s="7" t="str">
        <f t="shared" si="21"/>
        <v>Electronics</v>
      </c>
      <c r="M295" s="7">
        <f t="shared" si="22"/>
        <v>255.90289999999999</v>
      </c>
      <c r="N295" s="7">
        <f t="shared" si="23"/>
        <v>387.45</v>
      </c>
      <c r="O295">
        <f t="shared" si="24"/>
        <v>99149.578604999988</v>
      </c>
    </row>
    <row r="296" spans="1:15" ht="15" thickBot="1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5">
        <v>188</v>
      </c>
      <c r="I296" s="5">
        <v>136.12</v>
      </c>
      <c r="J296" s="5">
        <v>50.71</v>
      </c>
      <c r="K296" t="str">
        <f t="shared" si="20"/>
        <v>South</v>
      </c>
      <c r="L296" s="7" t="str">
        <f t="shared" si="21"/>
        <v>Furniture</v>
      </c>
      <c r="M296" s="7">
        <f t="shared" si="22"/>
        <v>188</v>
      </c>
      <c r="N296" s="7">
        <f t="shared" si="23"/>
        <v>136.12</v>
      </c>
      <c r="O296">
        <f t="shared" si="24"/>
        <v>25590.560000000001</v>
      </c>
    </row>
    <row r="297" spans="1:15" ht="15" thickBot="1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5">
        <v>97</v>
      </c>
      <c r="I297" s="5">
        <v>324.42</v>
      </c>
      <c r="J297" s="5">
        <v>294.73</v>
      </c>
      <c r="K297" t="str">
        <f t="shared" si="20"/>
        <v>West</v>
      </c>
      <c r="L297" s="7" t="str">
        <f t="shared" si="21"/>
        <v>Clothing</v>
      </c>
      <c r="M297" s="7">
        <f t="shared" si="22"/>
        <v>97</v>
      </c>
      <c r="N297" s="7">
        <f t="shared" si="23"/>
        <v>324.42</v>
      </c>
      <c r="O297">
        <f t="shared" si="24"/>
        <v>31468.74</v>
      </c>
    </row>
    <row r="298" spans="1:15" ht="15" thickBot="1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5">
        <v>50</v>
      </c>
      <c r="I298" s="5">
        <v>299.89999999999998</v>
      </c>
      <c r="J298" s="5">
        <v>95.87</v>
      </c>
      <c r="K298" t="str">
        <f t="shared" si="20"/>
        <v>South</v>
      </c>
      <c r="L298" s="7" t="str">
        <f t="shared" si="21"/>
        <v>Furniture</v>
      </c>
      <c r="M298" s="7">
        <f t="shared" si="22"/>
        <v>50</v>
      </c>
      <c r="N298" s="7">
        <f t="shared" si="23"/>
        <v>299.89999999999998</v>
      </c>
      <c r="O298">
        <f t="shared" si="24"/>
        <v>14994.999999999998</v>
      </c>
    </row>
    <row r="299" spans="1:15" ht="15" thickBot="1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5">
        <v>410</v>
      </c>
      <c r="I299" s="5">
        <v>203.59</v>
      </c>
      <c r="J299" s="5">
        <v>149.83000000000001</v>
      </c>
      <c r="K299" t="str">
        <f t="shared" si="20"/>
        <v>East</v>
      </c>
      <c r="L299" s="7" t="str">
        <f t="shared" si="21"/>
        <v>Clothing</v>
      </c>
      <c r="M299" s="7">
        <f t="shared" si="22"/>
        <v>410</v>
      </c>
      <c r="N299" s="7">
        <f t="shared" si="23"/>
        <v>203.59</v>
      </c>
      <c r="O299">
        <f t="shared" si="24"/>
        <v>83471.899999999994</v>
      </c>
    </row>
    <row r="300" spans="1:15" ht="29.4" thickBot="1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5">
        <v>85</v>
      </c>
      <c r="I300" s="5">
        <v>186.64</v>
      </c>
      <c r="J300" s="5">
        <v>26.89</v>
      </c>
      <c r="K300" t="str">
        <f t="shared" si="20"/>
        <v>North</v>
      </c>
      <c r="L300" s="7" t="str">
        <f t="shared" si="21"/>
        <v>Beverages</v>
      </c>
      <c r="M300" s="7">
        <f t="shared" si="22"/>
        <v>85</v>
      </c>
      <c r="N300" s="7">
        <f t="shared" si="23"/>
        <v>186.64</v>
      </c>
      <c r="O300">
        <f t="shared" si="24"/>
        <v>15864.4</v>
      </c>
    </row>
    <row r="301" spans="1:15" ht="15" thickBot="1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5">
        <v>386</v>
      </c>
      <c r="I301" s="5">
        <v>175.06</v>
      </c>
      <c r="J301" s="5">
        <v>320.94</v>
      </c>
      <c r="K301" t="str">
        <f t="shared" si="20"/>
        <v>West</v>
      </c>
      <c r="L301" s="7" t="str">
        <f t="shared" si="21"/>
        <v>Food</v>
      </c>
      <c r="M301" s="7">
        <f t="shared" si="22"/>
        <v>386</v>
      </c>
      <c r="N301" s="7">
        <f t="shared" si="23"/>
        <v>175.06</v>
      </c>
      <c r="O301">
        <f t="shared" si="24"/>
        <v>67573.16</v>
      </c>
    </row>
    <row r="302" spans="1:15" ht="29.4" thickBot="1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5">
        <v>55</v>
      </c>
      <c r="I302" s="5">
        <v>310.49</v>
      </c>
      <c r="J302" s="5">
        <v>307.10000000000002</v>
      </c>
      <c r="K302" t="str">
        <f t="shared" si="20"/>
        <v>North</v>
      </c>
      <c r="L302" s="7" t="str">
        <f t="shared" si="21"/>
        <v>Beverages</v>
      </c>
      <c r="M302" s="7">
        <f t="shared" si="22"/>
        <v>55</v>
      </c>
      <c r="N302" s="7">
        <f t="shared" si="23"/>
        <v>310.49</v>
      </c>
      <c r="O302">
        <f t="shared" si="24"/>
        <v>17076.95</v>
      </c>
    </row>
    <row r="303" spans="1:15" ht="15" thickBot="1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5">
        <v>169</v>
      </c>
      <c r="I303" s="5">
        <v>223.99</v>
      </c>
      <c r="J303" s="5">
        <v>293.98</v>
      </c>
      <c r="K303" t="str">
        <f t="shared" si="20"/>
        <v>North</v>
      </c>
      <c r="L303" s="7" t="str">
        <f t="shared" si="21"/>
        <v>Furniture</v>
      </c>
      <c r="M303" s="7">
        <f t="shared" si="22"/>
        <v>169</v>
      </c>
      <c r="N303" s="7">
        <f t="shared" si="23"/>
        <v>223.99</v>
      </c>
      <c r="O303">
        <f t="shared" si="24"/>
        <v>37854.310000000005</v>
      </c>
    </row>
    <row r="304" spans="1:15" ht="15" thickBot="1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5">
        <v>472</v>
      </c>
      <c r="I304" s="5">
        <v>416.77</v>
      </c>
      <c r="J304" s="5">
        <v>121.18</v>
      </c>
      <c r="K304" t="str">
        <f t="shared" si="20"/>
        <v>East</v>
      </c>
      <c r="L304" s="7" t="str">
        <f t="shared" si="21"/>
        <v>Food</v>
      </c>
      <c r="M304" s="7">
        <f t="shared" si="22"/>
        <v>472</v>
      </c>
      <c r="N304" s="7">
        <f t="shared" si="23"/>
        <v>416.77</v>
      </c>
      <c r="O304">
        <f t="shared" si="24"/>
        <v>196715.44</v>
      </c>
    </row>
    <row r="305" spans="1:15" ht="15" thickBot="1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5">
        <v>89</v>
      </c>
      <c r="I305" s="5">
        <v>336.45</v>
      </c>
      <c r="J305" s="5">
        <v>71.05</v>
      </c>
      <c r="K305" t="str">
        <f t="shared" si="20"/>
        <v>South</v>
      </c>
      <c r="L305" s="7" t="str">
        <f t="shared" si="21"/>
        <v>Clothing</v>
      </c>
      <c r="M305" s="7">
        <f t="shared" si="22"/>
        <v>89</v>
      </c>
      <c r="N305" s="7">
        <f t="shared" si="23"/>
        <v>336.45</v>
      </c>
      <c r="O305">
        <f t="shared" si="24"/>
        <v>29944.05</v>
      </c>
    </row>
    <row r="306" spans="1:15" ht="15" thickBot="1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5">
        <v>319</v>
      </c>
      <c r="I306" s="5">
        <v>39.619999999999997</v>
      </c>
      <c r="J306" s="5">
        <v>255.75</v>
      </c>
      <c r="K306" t="str">
        <f t="shared" si="20"/>
        <v>South</v>
      </c>
      <c r="L306" s="7" t="str">
        <f t="shared" si="21"/>
        <v>Food</v>
      </c>
      <c r="M306" s="7">
        <f t="shared" si="22"/>
        <v>319</v>
      </c>
      <c r="N306" s="7">
        <f t="shared" si="23"/>
        <v>39.619999999999997</v>
      </c>
      <c r="O306">
        <f t="shared" si="24"/>
        <v>12638.779999999999</v>
      </c>
    </row>
    <row r="307" spans="1:15" ht="15" thickBot="1">
      <c r="A307" s="3" t="s">
        <v>334</v>
      </c>
      <c r="B307" s="3" t="s">
        <v>22</v>
      </c>
      <c r="C307" s="3" t="s">
        <v>12</v>
      </c>
      <c r="D307" s="7" t="s">
        <v>13</v>
      </c>
      <c r="E307" s="3" t="s">
        <v>14</v>
      </c>
      <c r="F307" s="3" t="s">
        <v>28</v>
      </c>
      <c r="G307" s="4">
        <v>45232</v>
      </c>
      <c r="H307" s="5">
        <v>95</v>
      </c>
      <c r="I307" s="5">
        <v>321.88</v>
      </c>
      <c r="J307" s="5">
        <v>199.47</v>
      </c>
      <c r="K307" t="str">
        <f t="shared" si="20"/>
        <v>North</v>
      </c>
      <c r="L307" s="7" t="str">
        <f t="shared" si="21"/>
        <v>Beverages</v>
      </c>
      <c r="M307" s="7">
        <f t="shared" si="22"/>
        <v>95</v>
      </c>
      <c r="N307" s="7">
        <f t="shared" si="23"/>
        <v>321.88</v>
      </c>
      <c r="O307">
        <f t="shared" si="24"/>
        <v>30578.6</v>
      </c>
    </row>
    <row r="308" spans="1:15" ht="15" thickBot="1">
      <c r="A308" s="3" t="s">
        <v>335</v>
      </c>
      <c r="B308" s="3" t="s">
        <v>17</v>
      </c>
      <c r="C308" s="3" t="s">
        <v>31</v>
      </c>
      <c r="D308" s="7" t="s">
        <v>13</v>
      </c>
      <c r="E308" s="3" t="s">
        <v>24</v>
      </c>
      <c r="F308" s="3" t="s">
        <v>15</v>
      </c>
      <c r="G308" s="4">
        <v>45233</v>
      </c>
      <c r="H308" s="5">
        <v>101</v>
      </c>
      <c r="I308" s="5">
        <v>139.22</v>
      </c>
      <c r="J308" s="5">
        <v>72.94</v>
      </c>
      <c r="K308" t="str">
        <f t="shared" si="20"/>
        <v>West</v>
      </c>
      <c r="L308" s="7" t="str">
        <f t="shared" si="21"/>
        <v>Beverages</v>
      </c>
      <c r="M308" s="7">
        <f t="shared" si="22"/>
        <v>101</v>
      </c>
      <c r="N308" s="7">
        <f t="shared" si="23"/>
        <v>139.22</v>
      </c>
      <c r="O308">
        <f t="shared" si="24"/>
        <v>14061.22</v>
      </c>
    </row>
    <row r="309" spans="1:15" ht="15" thickBot="1">
      <c r="A309" s="3" t="s">
        <v>336</v>
      </c>
      <c r="B309" s="3" t="s">
        <v>48</v>
      </c>
      <c r="C309" s="3" t="s">
        <v>50</v>
      </c>
      <c r="D309" s="7" t="s">
        <v>13</v>
      </c>
      <c r="E309" s="3" t="s">
        <v>14</v>
      </c>
      <c r="F309" s="3" t="s">
        <v>28</v>
      </c>
      <c r="G309" s="4">
        <v>45234</v>
      </c>
      <c r="H309" s="5">
        <v>157</v>
      </c>
      <c r="I309" s="3">
        <v>249.64519999999999</v>
      </c>
      <c r="J309" s="5">
        <v>274.99</v>
      </c>
      <c r="K309" t="str">
        <f t="shared" si="20"/>
        <v>South</v>
      </c>
      <c r="L309" s="7" t="str">
        <f t="shared" si="21"/>
        <v>Beverages</v>
      </c>
      <c r="M309" s="7">
        <f t="shared" si="22"/>
        <v>157</v>
      </c>
      <c r="N309" s="7">
        <f t="shared" si="23"/>
        <v>249.64519999999999</v>
      </c>
      <c r="O309">
        <f t="shared" si="24"/>
        <v>39194.296399999999</v>
      </c>
    </row>
    <row r="310" spans="1:15" ht="15" thickBot="1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5">
        <v>170</v>
      </c>
      <c r="I310" s="5">
        <v>341.67</v>
      </c>
      <c r="J310" s="5">
        <v>396.47</v>
      </c>
      <c r="K310" t="str">
        <f t="shared" si="20"/>
        <v>West</v>
      </c>
      <c r="L310" s="7" t="str">
        <f t="shared" si="21"/>
        <v>Food</v>
      </c>
      <c r="M310" s="7">
        <f t="shared" si="22"/>
        <v>170</v>
      </c>
      <c r="N310" s="7">
        <f t="shared" si="23"/>
        <v>341.67</v>
      </c>
      <c r="O310">
        <f t="shared" si="24"/>
        <v>58083.9</v>
      </c>
    </row>
    <row r="311" spans="1:15" ht="29.4" thickBot="1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5">
        <v>211</v>
      </c>
      <c r="I311" s="5">
        <v>119.26</v>
      </c>
      <c r="J311" s="5">
        <v>299.39</v>
      </c>
      <c r="K311" t="str">
        <f t="shared" si="20"/>
        <v>South</v>
      </c>
      <c r="L311" s="7" t="str">
        <f t="shared" si="21"/>
        <v>Electronics</v>
      </c>
      <c r="M311" s="7">
        <f t="shared" si="22"/>
        <v>211</v>
      </c>
      <c r="N311" s="7">
        <f t="shared" si="23"/>
        <v>119.26</v>
      </c>
      <c r="O311">
        <f t="shared" si="24"/>
        <v>25163.86</v>
      </c>
    </row>
    <row r="312" spans="1:15" ht="15" thickBot="1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5">
        <v>433</v>
      </c>
      <c r="I312" s="5">
        <v>231.15</v>
      </c>
      <c r="J312" s="5">
        <v>296.51</v>
      </c>
      <c r="K312" t="str">
        <f t="shared" si="20"/>
        <v>West</v>
      </c>
      <c r="L312" s="7" t="str">
        <f t="shared" si="21"/>
        <v>Furniture</v>
      </c>
      <c r="M312" s="7">
        <f t="shared" si="22"/>
        <v>433</v>
      </c>
      <c r="N312" s="7">
        <f t="shared" si="23"/>
        <v>231.15</v>
      </c>
      <c r="O312">
        <f t="shared" si="24"/>
        <v>100087.95</v>
      </c>
    </row>
    <row r="313" spans="1:15" ht="29.4" thickBot="1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5">
        <v>425</v>
      </c>
      <c r="I313" s="5">
        <v>99.21</v>
      </c>
      <c r="J313" s="5">
        <v>380.22</v>
      </c>
      <c r="K313" t="str">
        <f t="shared" si="20"/>
        <v>East</v>
      </c>
      <c r="L313" s="7" t="str">
        <f t="shared" si="21"/>
        <v>Beverages</v>
      </c>
      <c r="M313" s="7">
        <f t="shared" si="22"/>
        <v>425</v>
      </c>
      <c r="N313" s="7">
        <f t="shared" si="23"/>
        <v>99.21</v>
      </c>
      <c r="O313">
        <f t="shared" si="24"/>
        <v>42164.25</v>
      </c>
    </row>
    <row r="314" spans="1:15" ht="15" thickBot="1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5">
        <v>251</v>
      </c>
      <c r="I314" s="5">
        <v>30.91</v>
      </c>
      <c r="J314" s="5">
        <v>82.77</v>
      </c>
      <c r="K314" t="str">
        <f t="shared" si="20"/>
        <v>West</v>
      </c>
      <c r="L314" s="7" t="str">
        <f t="shared" si="21"/>
        <v>Clothing</v>
      </c>
      <c r="M314" s="7">
        <f t="shared" si="22"/>
        <v>251</v>
      </c>
      <c r="N314" s="7">
        <f t="shared" si="23"/>
        <v>30.91</v>
      </c>
      <c r="O314">
        <f t="shared" si="24"/>
        <v>7758.41</v>
      </c>
    </row>
    <row r="315" spans="1:15" ht="15" thickBot="1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>
        <v>255.90289999999999</v>
      </c>
      <c r="I315" s="5">
        <v>192.35</v>
      </c>
      <c r="J315" s="5">
        <v>227.09</v>
      </c>
      <c r="K315" t="str">
        <f t="shared" si="20"/>
        <v>East</v>
      </c>
      <c r="L315" s="7" t="str">
        <f t="shared" si="21"/>
        <v>Food</v>
      </c>
      <c r="M315" s="7">
        <f t="shared" si="22"/>
        <v>255.90289999999999</v>
      </c>
      <c r="N315" s="7">
        <f t="shared" si="23"/>
        <v>192.35</v>
      </c>
      <c r="O315">
        <f t="shared" si="24"/>
        <v>49222.922814999998</v>
      </c>
    </row>
    <row r="316" spans="1:15" ht="29.4" thickBot="1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5">
        <v>11</v>
      </c>
      <c r="I316" s="5">
        <v>184.66</v>
      </c>
      <c r="J316" s="5">
        <v>391.9</v>
      </c>
      <c r="K316" t="str">
        <f t="shared" si="20"/>
        <v>East</v>
      </c>
      <c r="L316" s="7" t="str">
        <f t="shared" si="21"/>
        <v>Beverages</v>
      </c>
      <c r="M316" s="7">
        <f t="shared" si="22"/>
        <v>11</v>
      </c>
      <c r="N316" s="7">
        <f t="shared" si="23"/>
        <v>184.66</v>
      </c>
      <c r="O316">
        <f t="shared" si="24"/>
        <v>2031.26</v>
      </c>
    </row>
    <row r="317" spans="1:15" ht="15" thickBot="1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5">
        <v>234</v>
      </c>
      <c r="I317" s="5">
        <v>497.76</v>
      </c>
      <c r="J317" s="5">
        <v>67.790000000000006</v>
      </c>
      <c r="K317" t="str">
        <f t="shared" si="20"/>
        <v>West</v>
      </c>
      <c r="L317" s="7" t="str">
        <f t="shared" si="21"/>
        <v>Clothing</v>
      </c>
      <c r="M317" s="7">
        <f t="shared" si="22"/>
        <v>234</v>
      </c>
      <c r="N317" s="7">
        <f t="shared" si="23"/>
        <v>497.76</v>
      </c>
      <c r="O317">
        <f t="shared" si="24"/>
        <v>116475.84</v>
      </c>
    </row>
    <row r="318" spans="1:15" ht="15" thickBot="1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>
        <v>255.90289999999999</v>
      </c>
      <c r="I318" s="5">
        <v>225.94</v>
      </c>
      <c r="J318" s="5">
        <v>280.7</v>
      </c>
      <c r="K318" t="str">
        <f t="shared" si="20"/>
        <v>East</v>
      </c>
      <c r="L318" s="7" t="str">
        <f t="shared" si="21"/>
        <v>Clothing</v>
      </c>
      <c r="M318" s="7">
        <f t="shared" si="22"/>
        <v>255.90289999999999</v>
      </c>
      <c r="N318" s="7">
        <f t="shared" si="23"/>
        <v>225.94</v>
      </c>
      <c r="O318">
        <f t="shared" si="24"/>
        <v>57818.701225999997</v>
      </c>
    </row>
    <row r="319" spans="1:15" ht="29.4" thickBot="1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5">
        <v>242</v>
      </c>
      <c r="I319" s="5">
        <v>170.12</v>
      </c>
      <c r="J319" s="5">
        <v>235.15</v>
      </c>
      <c r="K319" t="str">
        <f t="shared" si="20"/>
        <v>North</v>
      </c>
      <c r="L319" s="7" t="str">
        <f t="shared" si="21"/>
        <v>Electronics</v>
      </c>
      <c r="M319" s="7">
        <f t="shared" si="22"/>
        <v>242</v>
      </c>
      <c r="N319" s="7">
        <f t="shared" si="23"/>
        <v>170.12</v>
      </c>
      <c r="O319">
        <f t="shared" si="24"/>
        <v>41169.040000000001</v>
      </c>
    </row>
    <row r="320" spans="1:15" ht="15" thickBot="1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5">
        <v>470</v>
      </c>
      <c r="I320" s="5">
        <v>292.33999999999997</v>
      </c>
      <c r="J320" s="5">
        <v>235.42</v>
      </c>
      <c r="K320" t="str">
        <f t="shared" si="20"/>
        <v>East</v>
      </c>
      <c r="L320" s="7" t="str">
        <f t="shared" si="21"/>
        <v>Furniture</v>
      </c>
      <c r="M320" s="7">
        <f t="shared" si="22"/>
        <v>470</v>
      </c>
      <c r="N320" s="7">
        <f t="shared" si="23"/>
        <v>292.33999999999997</v>
      </c>
      <c r="O320">
        <f t="shared" si="24"/>
        <v>137399.79999999999</v>
      </c>
    </row>
    <row r="321" spans="1:15" ht="15" thickBot="1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5">
        <v>423</v>
      </c>
      <c r="I321" s="5">
        <v>48.94</v>
      </c>
      <c r="J321" s="5">
        <v>279.67</v>
      </c>
      <c r="K321" t="str">
        <f t="shared" si="20"/>
        <v>South</v>
      </c>
      <c r="L321" s="7" t="str">
        <f t="shared" si="21"/>
        <v>Furniture</v>
      </c>
      <c r="M321" s="7">
        <f t="shared" si="22"/>
        <v>423</v>
      </c>
      <c r="N321" s="7">
        <f t="shared" si="23"/>
        <v>48.94</v>
      </c>
      <c r="O321">
        <f t="shared" si="24"/>
        <v>20701.62</v>
      </c>
    </row>
    <row r="322" spans="1:15" ht="29.4" thickBot="1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5">
        <v>426</v>
      </c>
      <c r="I322" s="5">
        <v>481.02</v>
      </c>
      <c r="J322" s="5">
        <v>371.99</v>
      </c>
      <c r="K322" t="str">
        <f t="shared" si="20"/>
        <v>West</v>
      </c>
      <c r="L322" s="7" t="str">
        <f t="shared" si="21"/>
        <v>Beverages</v>
      </c>
      <c r="M322" s="7">
        <f t="shared" si="22"/>
        <v>426</v>
      </c>
      <c r="N322" s="7">
        <f t="shared" si="23"/>
        <v>481.02</v>
      </c>
      <c r="O322">
        <f t="shared" si="24"/>
        <v>204914.52</v>
      </c>
    </row>
    <row r="323" spans="1:15" ht="15" thickBot="1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5">
        <v>86</v>
      </c>
      <c r="I323" s="5">
        <v>319.31</v>
      </c>
      <c r="J323" s="5">
        <v>313.47000000000003</v>
      </c>
      <c r="K323" t="str">
        <f t="shared" ref="K323:L351" si="25">IF(B323="", "West", B323:B672)</f>
        <v>North</v>
      </c>
      <c r="L323" s="7" t="str">
        <f t="shared" ref="L323:L351" si="26">IF(D323="", "Beverages", D323)</f>
        <v>Furniture</v>
      </c>
      <c r="M323" s="7">
        <f t="shared" ref="M323:M351" si="27">IF(H323="",AVERAGE($H$2:$H$351),H323)</f>
        <v>86</v>
      </c>
      <c r="N323" s="7">
        <f t="shared" ref="N323:N355" si="28">IF(I323="",AVERAGE($I$2:$I$351),I323)</f>
        <v>319.31</v>
      </c>
      <c r="O323">
        <f t="shared" ref="O323:O351" si="29">H323*I323</f>
        <v>27460.66</v>
      </c>
    </row>
    <row r="324" spans="1:15" ht="15" thickBot="1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5">
        <v>125</v>
      </c>
      <c r="I324" s="5">
        <v>378.64</v>
      </c>
      <c r="J324" s="5">
        <v>24.34</v>
      </c>
      <c r="K324" t="str">
        <f t="shared" si="25"/>
        <v>West</v>
      </c>
      <c r="L324" s="7" t="str">
        <f t="shared" si="26"/>
        <v>Food</v>
      </c>
      <c r="M324" s="7">
        <f t="shared" si="27"/>
        <v>125</v>
      </c>
      <c r="N324" s="7">
        <f t="shared" si="28"/>
        <v>378.64</v>
      </c>
      <c r="O324">
        <f t="shared" si="29"/>
        <v>47330</v>
      </c>
    </row>
    <row r="325" spans="1:15" ht="15" thickBot="1">
      <c r="A325" s="3" t="s">
        <v>352</v>
      </c>
      <c r="B325" s="3" t="s">
        <v>48</v>
      </c>
      <c r="C325" s="3" t="s">
        <v>18</v>
      </c>
      <c r="D325" s="7" t="s">
        <v>13</v>
      </c>
      <c r="E325" s="3" t="s">
        <v>14</v>
      </c>
      <c r="F325" s="3" t="s">
        <v>15</v>
      </c>
      <c r="G325" s="4">
        <v>45250</v>
      </c>
      <c r="H325" s="5">
        <v>163</v>
      </c>
      <c r="I325" s="5">
        <v>89.39</v>
      </c>
      <c r="J325" s="5">
        <v>341.39</v>
      </c>
      <c r="K325" t="str">
        <f t="shared" si="25"/>
        <v>South</v>
      </c>
      <c r="L325" s="7" t="str">
        <f t="shared" si="26"/>
        <v>Beverages</v>
      </c>
      <c r="M325" s="7">
        <f t="shared" si="27"/>
        <v>163</v>
      </c>
      <c r="N325" s="7">
        <f t="shared" si="28"/>
        <v>89.39</v>
      </c>
      <c r="O325">
        <f t="shared" si="29"/>
        <v>14570.57</v>
      </c>
    </row>
    <row r="326" spans="1:15" ht="29.4" thickBot="1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5">
        <v>415</v>
      </c>
      <c r="I326" s="5">
        <v>207.69</v>
      </c>
      <c r="J326" s="5">
        <v>91.77</v>
      </c>
      <c r="K326" t="str">
        <f t="shared" si="25"/>
        <v>South</v>
      </c>
      <c r="L326" s="7" t="str">
        <f t="shared" si="26"/>
        <v>Beverages</v>
      </c>
      <c r="M326" s="7">
        <f t="shared" si="27"/>
        <v>415</v>
      </c>
      <c r="N326" s="7">
        <f t="shared" si="28"/>
        <v>207.69</v>
      </c>
      <c r="O326">
        <f t="shared" si="29"/>
        <v>86191.35</v>
      </c>
    </row>
    <row r="327" spans="1:15" ht="15" thickBot="1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5">
        <v>112</v>
      </c>
      <c r="I327" s="5">
        <v>214.23</v>
      </c>
      <c r="J327" s="5">
        <v>152.01</v>
      </c>
      <c r="K327" t="str">
        <f t="shared" si="25"/>
        <v>South</v>
      </c>
      <c r="L327" s="7" t="str">
        <f t="shared" si="26"/>
        <v>Furniture</v>
      </c>
      <c r="M327" s="7">
        <f t="shared" si="27"/>
        <v>112</v>
      </c>
      <c r="N327" s="7">
        <f t="shared" si="28"/>
        <v>214.23</v>
      </c>
      <c r="O327">
        <f t="shared" si="29"/>
        <v>23993.759999999998</v>
      </c>
    </row>
    <row r="328" spans="1:15" ht="15" thickBot="1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5">
        <v>203</v>
      </c>
      <c r="I328" s="5">
        <v>411.79</v>
      </c>
      <c r="J328" s="5">
        <v>185.77</v>
      </c>
      <c r="K328" t="str">
        <f t="shared" si="25"/>
        <v>East</v>
      </c>
      <c r="L328" s="7" t="str">
        <f t="shared" si="26"/>
        <v>Food</v>
      </c>
      <c r="M328" s="7">
        <f t="shared" si="27"/>
        <v>203</v>
      </c>
      <c r="N328" s="7">
        <f t="shared" si="28"/>
        <v>411.79</v>
      </c>
      <c r="O328">
        <f t="shared" si="29"/>
        <v>83593.37000000001</v>
      </c>
    </row>
    <row r="329" spans="1:15" ht="29.4" thickBot="1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>
        <v>255.90289999999999</v>
      </c>
      <c r="I329" s="5">
        <v>5.61</v>
      </c>
      <c r="J329" s="5">
        <v>193.4</v>
      </c>
      <c r="K329" t="str">
        <f t="shared" si="25"/>
        <v>East</v>
      </c>
      <c r="L329" s="7" t="str">
        <f t="shared" si="26"/>
        <v>Electronics</v>
      </c>
      <c r="M329" s="7">
        <f t="shared" si="27"/>
        <v>255.90289999999999</v>
      </c>
      <c r="N329" s="7">
        <f t="shared" si="28"/>
        <v>5.61</v>
      </c>
      <c r="O329">
        <f t="shared" si="29"/>
        <v>1435.6152690000001</v>
      </c>
    </row>
    <row r="330" spans="1:15" ht="29.4" thickBot="1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5">
        <v>368</v>
      </c>
      <c r="I330" s="5">
        <v>153.91999999999999</v>
      </c>
      <c r="J330" s="5">
        <v>175.2</v>
      </c>
      <c r="K330" t="str">
        <f t="shared" si="25"/>
        <v>West</v>
      </c>
      <c r="L330" s="7" t="str">
        <f t="shared" si="26"/>
        <v>Beverages</v>
      </c>
      <c r="M330" s="7">
        <f t="shared" si="27"/>
        <v>368</v>
      </c>
      <c r="N330" s="7">
        <f t="shared" si="28"/>
        <v>153.91999999999999</v>
      </c>
      <c r="O330">
        <f t="shared" si="29"/>
        <v>56642.559999999998</v>
      </c>
    </row>
    <row r="331" spans="1:15" ht="29.4" thickBot="1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5">
        <v>99</v>
      </c>
      <c r="I331" s="5">
        <v>490.71</v>
      </c>
      <c r="J331" s="5">
        <v>375.07</v>
      </c>
      <c r="K331" t="str">
        <f t="shared" si="25"/>
        <v>West</v>
      </c>
      <c r="L331" s="7" t="str">
        <f t="shared" si="26"/>
        <v>Electronics</v>
      </c>
      <c r="M331" s="7">
        <f t="shared" si="27"/>
        <v>99</v>
      </c>
      <c r="N331" s="7">
        <f t="shared" si="28"/>
        <v>490.71</v>
      </c>
      <c r="O331">
        <f t="shared" si="29"/>
        <v>48580.29</v>
      </c>
    </row>
    <row r="332" spans="1:15" ht="29.4" thickBot="1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5">
        <v>183</v>
      </c>
      <c r="I332" s="5">
        <v>240.07</v>
      </c>
      <c r="J332" s="5">
        <v>283</v>
      </c>
      <c r="K332" t="str">
        <f t="shared" si="25"/>
        <v>North</v>
      </c>
      <c r="L332" s="7" t="str">
        <f t="shared" si="26"/>
        <v>Electronics</v>
      </c>
      <c r="M332" s="7">
        <f t="shared" si="27"/>
        <v>183</v>
      </c>
      <c r="N332" s="7">
        <f t="shared" si="28"/>
        <v>240.07</v>
      </c>
      <c r="O332">
        <f t="shared" si="29"/>
        <v>43932.81</v>
      </c>
    </row>
    <row r="333" spans="1:15" ht="29.4" thickBot="1">
      <c r="A333" s="3" t="s">
        <v>360</v>
      </c>
      <c r="B333" s="3" t="s">
        <v>17</v>
      </c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5">
        <v>131</v>
      </c>
      <c r="I333" s="5">
        <v>194.35</v>
      </c>
      <c r="J333" s="5">
        <v>253.21</v>
      </c>
      <c r="K333" t="str">
        <f t="shared" si="25"/>
        <v>West</v>
      </c>
      <c r="L333" s="7" t="str">
        <f t="shared" si="26"/>
        <v>Electronics</v>
      </c>
      <c r="M333" s="7">
        <f t="shared" si="27"/>
        <v>131</v>
      </c>
      <c r="N333" s="7">
        <f t="shared" si="28"/>
        <v>194.35</v>
      </c>
      <c r="O333">
        <f t="shared" si="29"/>
        <v>25459.85</v>
      </c>
    </row>
    <row r="334" spans="1:15" ht="15" thickBot="1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5">
        <v>152</v>
      </c>
      <c r="I334" s="5">
        <v>64.319999999999993</v>
      </c>
      <c r="J334" s="5">
        <v>21.84</v>
      </c>
      <c r="K334" t="str">
        <f t="shared" si="25"/>
        <v>West</v>
      </c>
      <c r="L334" s="7" t="str">
        <f t="shared" si="26"/>
        <v>Clothing</v>
      </c>
      <c r="M334" s="7">
        <f t="shared" si="27"/>
        <v>152</v>
      </c>
      <c r="N334" s="7">
        <f t="shared" si="28"/>
        <v>64.319999999999993</v>
      </c>
      <c r="O334">
        <f t="shared" si="29"/>
        <v>9776.64</v>
      </c>
    </row>
    <row r="335" spans="1:15" ht="15" thickBot="1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5">
        <v>491</v>
      </c>
      <c r="I335" s="5">
        <v>487.21</v>
      </c>
      <c r="J335" s="5">
        <v>361.76</v>
      </c>
      <c r="K335" t="str">
        <f t="shared" si="25"/>
        <v>East</v>
      </c>
      <c r="L335" s="7" t="str">
        <f t="shared" si="26"/>
        <v>Clothing</v>
      </c>
      <c r="M335" s="7">
        <f t="shared" si="27"/>
        <v>491</v>
      </c>
      <c r="N335" s="7">
        <f t="shared" si="28"/>
        <v>487.21</v>
      </c>
      <c r="O335">
        <f t="shared" si="29"/>
        <v>239220.11</v>
      </c>
    </row>
    <row r="336" spans="1:15" ht="29.4" thickBot="1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5">
        <v>115</v>
      </c>
      <c r="I336" s="5">
        <v>14.91</v>
      </c>
      <c r="J336" s="5">
        <v>363.94</v>
      </c>
      <c r="K336" t="str">
        <f t="shared" si="25"/>
        <v>South</v>
      </c>
      <c r="L336" s="7" t="str">
        <f t="shared" si="26"/>
        <v>Electronics</v>
      </c>
      <c r="M336" s="7">
        <f t="shared" si="27"/>
        <v>115</v>
      </c>
      <c r="N336" s="7">
        <f t="shared" si="28"/>
        <v>14.91</v>
      </c>
      <c r="O336">
        <f t="shared" si="29"/>
        <v>1714.65</v>
      </c>
    </row>
    <row r="337" spans="1:15" ht="29.4" thickBot="1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5">
        <v>384</v>
      </c>
      <c r="I337" s="5">
        <v>369.9</v>
      </c>
      <c r="J337" s="5">
        <v>312.52</v>
      </c>
      <c r="K337" t="str">
        <f t="shared" si="25"/>
        <v>West</v>
      </c>
      <c r="L337" s="7" t="str">
        <f t="shared" si="26"/>
        <v>Beverages</v>
      </c>
      <c r="M337" s="7">
        <f t="shared" si="27"/>
        <v>384</v>
      </c>
      <c r="N337" s="7">
        <f t="shared" si="28"/>
        <v>369.9</v>
      </c>
      <c r="O337">
        <f t="shared" si="29"/>
        <v>142041.59999999998</v>
      </c>
    </row>
    <row r="338" spans="1:15" ht="15" thickBot="1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5">
        <v>437</v>
      </c>
      <c r="I338" s="5">
        <v>385.46</v>
      </c>
      <c r="J338" s="5">
        <v>4.8</v>
      </c>
      <c r="K338" t="str">
        <f t="shared" si="25"/>
        <v>North</v>
      </c>
      <c r="L338" s="7" t="str">
        <f t="shared" si="26"/>
        <v>Food</v>
      </c>
      <c r="M338" s="7">
        <f t="shared" si="27"/>
        <v>437</v>
      </c>
      <c r="N338" s="7">
        <f t="shared" si="28"/>
        <v>385.46</v>
      </c>
      <c r="O338">
        <f t="shared" si="29"/>
        <v>168446.02</v>
      </c>
    </row>
    <row r="339" spans="1:15" ht="15" thickBot="1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5">
        <v>314</v>
      </c>
      <c r="I339" s="5">
        <v>125.61</v>
      </c>
      <c r="J339" s="5">
        <v>24.8</v>
      </c>
      <c r="K339" t="str">
        <f t="shared" si="25"/>
        <v>East</v>
      </c>
      <c r="L339" s="7" t="str">
        <f t="shared" si="26"/>
        <v>Food</v>
      </c>
      <c r="M339" s="7">
        <f t="shared" si="27"/>
        <v>314</v>
      </c>
      <c r="N339" s="7">
        <f t="shared" si="28"/>
        <v>125.61</v>
      </c>
      <c r="O339">
        <f t="shared" si="29"/>
        <v>39441.54</v>
      </c>
    </row>
    <row r="340" spans="1:15" ht="15" thickBot="1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5">
        <v>369</v>
      </c>
      <c r="I340" s="5">
        <v>337.42</v>
      </c>
      <c r="J340" s="5">
        <v>91.64</v>
      </c>
      <c r="K340" t="str">
        <f t="shared" si="25"/>
        <v>West</v>
      </c>
      <c r="L340" s="7" t="str">
        <f t="shared" si="26"/>
        <v>Furniture</v>
      </c>
      <c r="M340" s="7">
        <f t="shared" si="27"/>
        <v>369</v>
      </c>
      <c r="N340" s="7">
        <f t="shared" si="28"/>
        <v>337.42</v>
      </c>
      <c r="O340">
        <f t="shared" si="29"/>
        <v>124507.98000000001</v>
      </c>
    </row>
    <row r="341" spans="1:15" ht="29.4" thickBot="1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5">
        <v>468</v>
      </c>
      <c r="I341" s="5">
        <v>51</v>
      </c>
      <c r="J341" s="5">
        <v>54.28</v>
      </c>
      <c r="K341" t="str">
        <f t="shared" si="25"/>
        <v>West</v>
      </c>
      <c r="L341" s="7" t="str">
        <f t="shared" si="26"/>
        <v>Beverages</v>
      </c>
      <c r="M341" s="7">
        <f t="shared" si="27"/>
        <v>468</v>
      </c>
      <c r="N341" s="7">
        <f t="shared" si="28"/>
        <v>51</v>
      </c>
      <c r="O341">
        <f t="shared" si="29"/>
        <v>23868</v>
      </c>
    </row>
    <row r="342" spans="1:15" ht="15" thickBot="1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5">
        <v>326</v>
      </c>
      <c r="I342" s="5">
        <v>132.24</v>
      </c>
      <c r="J342" s="5">
        <v>160.74</v>
      </c>
      <c r="K342" t="str">
        <f t="shared" si="25"/>
        <v>East</v>
      </c>
      <c r="L342" s="7" t="str">
        <f t="shared" si="26"/>
        <v>Clothing</v>
      </c>
      <c r="M342" s="7">
        <f t="shared" si="27"/>
        <v>326</v>
      </c>
      <c r="N342" s="7">
        <f t="shared" si="28"/>
        <v>132.24</v>
      </c>
      <c r="O342">
        <f t="shared" si="29"/>
        <v>43110.240000000005</v>
      </c>
    </row>
    <row r="343" spans="1:15" ht="29.4" thickBot="1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5">
        <v>460</v>
      </c>
      <c r="I343" s="5">
        <v>395.01</v>
      </c>
      <c r="J343" s="5">
        <v>369.2</v>
      </c>
      <c r="K343" t="str">
        <f t="shared" si="25"/>
        <v>West</v>
      </c>
      <c r="L343" s="7" t="str">
        <f t="shared" si="26"/>
        <v>Electronics</v>
      </c>
      <c r="M343" s="7">
        <f t="shared" si="27"/>
        <v>460</v>
      </c>
      <c r="N343" s="7">
        <f t="shared" si="28"/>
        <v>395.01</v>
      </c>
      <c r="O343">
        <f t="shared" si="29"/>
        <v>181704.6</v>
      </c>
    </row>
    <row r="344" spans="1:15" ht="15" thickBot="1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5">
        <v>132</v>
      </c>
      <c r="I344" s="5">
        <v>433.02</v>
      </c>
      <c r="J344" s="5">
        <v>189.88</v>
      </c>
      <c r="K344" t="str">
        <f t="shared" si="25"/>
        <v>East</v>
      </c>
      <c r="L344" s="7" t="str">
        <f t="shared" si="26"/>
        <v>Furniture</v>
      </c>
      <c r="M344" s="7">
        <f t="shared" si="27"/>
        <v>132</v>
      </c>
      <c r="N344" s="7">
        <f t="shared" si="28"/>
        <v>433.02</v>
      </c>
      <c r="O344">
        <f t="shared" si="29"/>
        <v>57158.64</v>
      </c>
    </row>
    <row r="345" spans="1:15" ht="15" thickBot="1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5">
        <v>399</v>
      </c>
      <c r="I345" s="5">
        <v>306.2</v>
      </c>
      <c r="J345" s="5">
        <v>7.33</v>
      </c>
      <c r="K345" t="str">
        <f t="shared" si="25"/>
        <v>South</v>
      </c>
      <c r="L345" s="7" t="str">
        <f t="shared" si="26"/>
        <v>Food</v>
      </c>
      <c r="M345" s="7">
        <f t="shared" si="27"/>
        <v>399</v>
      </c>
      <c r="N345" s="7">
        <f t="shared" si="28"/>
        <v>306.2</v>
      </c>
      <c r="O345">
        <f t="shared" si="29"/>
        <v>122173.79999999999</v>
      </c>
    </row>
    <row r="346" spans="1:15" ht="15" thickBot="1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5">
        <v>18</v>
      </c>
      <c r="I346" s="5">
        <v>255.89</v>
      </c>
      <c r="J346" s="5">
        <v>114.53</v>
      </c>
      <c r="K346" t="str">
        <f t="shared" si="25"/>
        <v>East</v>
      </c>
      <c r="L346" s="7" t="str">
        <f t="shared" si="26"/>
        <v>Clothing</v>
      </c>
      <c r="M346" s="7">
        <f t="shared" si="27"/>
        <v>18</v>
      </c>
      <c r="N346" s="7">
        <f t="shared" si="28"/>
        <v>255.89</v>
      </c>
      <c r="O346">
        <f t="shared" si="29"/>
        <v>4606.0199999999995</v>
      </c>
    </row>
    <row r="347" spans="1:15" ht="15" thickBot="1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5">
        <v>271</v>
      </c>
      <c r="I347" s="5">
        <v>83.86</v>
      </c>
      <c r="J347" s="5">
        <v>19.75</v>
      </c>
      <c r="K347" t="str">
        <f t="shared" si="25"/>
        <v>East</v>
      </c>
      <c r="L347" s="7" t="str">
        <f t="shared" si="26"/>
        <v>Clothing</v>
      </c>
      <c r="M347" s="7">
        <f t="shared" si="27"/>
        <v>271</v>
      </c>
      <c r="N347" s="7">
        <f t="shared" si="28"/>
        <v>83.86</v>
      </c>
      <c r="O347">
        <f t="shared" si="29"/>
        <v>22726.06</v>
      </c>
    </row>
    <row r="348" spans="1:15" ht="29.4" thickBot="1">
      <c r="A348" s="3" t="s">
        <v>375</v>
      </c>
      <c r="B348" s="3" t="s">
        <v>17</v>
      </c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5">
        <v>82</v>
      </c>
      <c r="I348" s="5">
        <v>36.24</v>
      </c>
      <c r="J348" s="5">
        <v>16.440000000000001</v>
      </c>
      <c r="K348" t="str">
        <f t="shared" si="25"/>
        <v>West</v>
      </c>
      <c r="L348" s="7" t="str">
        <f t="shared" si="26"/>
        <v>Electronics</v>
      </c>
      <c r="M348" s="7">
        <f t="shared" si="27"/>
        <v>82</v>
      </c>
      <c r="N348" s="7">
        <f t="shared" si="28"/>
        <v>36.24</v>
      </c>
      <c r="O348">
        <f t="shared" si="29"/>
        <v>2971.6800000000003</v>
      </c>
    </row>
    <row r="349" spans="1:15" ht="15" thickBot="1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5">
        <v>368</v>
      </c>
      <c r="I349" s="5">
        <v>63.24</v>
      </c>
      <c r="J349" s="5">
        <v>111.74</v>
      </c>
      <c r="K349" t="str">
        <f t="shared" si="25"/>
        <v>West</v>
      </c>
      <c r="L349" s="7" t="str">
        <f t="shared" si="26"/>
        <v>Food</v>
      </c>
      <c r="M349" s="7">
        <f t="shared" si="27"/>
        <v>368</v>
      </c>
      <c r="N349" s="7">
        <f t="shared" si="28"/>
        <v>63.24</v>
      </c>
      <c r="O349">
        <f t="shared" si="29"/>
        <v>23272.32</v>
      </c>
    </row>
    <row r="350" spans="1:15" ht="29.4" thickBot="1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5">
        <v>232</v>
      </c>
      <c r="I350" s="5">
        <v>117.54</v>
      </c>
      <c r="J350" s="5">
        <v>111.69</v>
      </c>
      <c r="K350" t="str">
        <f t="shared" si="25"/>
        <v>West</v>
      </c>
      <c r="L350" s="7" t="str">
        <f t="shared" si="26"/>
        <v>Beverages</v>
      </c>
      <c r="M350" s="7">
        <f t="shared" si="27"/>
        <v>232</v>
      </c>
      <c r="N350" s="7">
        <f t="shared" si="28"/>
        <v>117.54</v>
      </c>
      <c r="O350">
        <f t="shared" si="29"/>
        <v>27269.280000000002</v>
      </c>
    </row>
    <row r="351" spans="1:15" ht="15" thickBot="1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5">
        <v>425</v>
      </c>
      <c r="I351" s="5">
        <v>174.13</v>
      </c>
      <c r="J351" s="5">
        <v>315.27999999999997</v>
      </c>
      <c r="K351" t="str">
        <f t="shared" si="25"/>
        <v>East</v>
      </c>
      <c r="L351" s="7" t="str">
        <f t="shared" si="26"/>
        <v>Clothing</v>
      </c>
      <c r="M351" s="7">
        <f t="shared" si="27"/>
        <v>425</v>
      </c>
      <c r="N351" s="7">
        <f t="shared" si="28"/>
        <v>174.13</v>
      </c>
      <c r="O351">
        <f t="shared" si="29"/>
        <v>74005.25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 Data Set</vt:lpstr>
      <vt:lpstr>Answer 1</vt:lpstr>
      <vt:lpstr>Answer 2, 3,4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Giri</dc:creator>
  <cp:lastModifiedBy>Vansh Giri</cp:lastModifiedBy>
  <dcterms:created xsi:type="dcterms:W3CDTF">2026-05-03T04:12:21Z</dcterms:created>
  <dcterms:modified xsi:type="dcterms:W3CDTF">2026-05-03T05:40:11Z</dcterms:modified>
</cp:coreProperties>
</file>